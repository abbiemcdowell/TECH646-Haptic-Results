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lla\Downloads\"/>
    </mc:Choice>
  </mc:AlternateContent>
  <xr:revisionPtr revIDLastSave="0" documentId="8_{4777FB63-BA01-483D-9397-1E22FDF47174}" xr6:coauthVersionLast="47" xr6:coauthVersionMax="47" xr10:uidLastSave="{00000000-0000-0000-0000-000000000000}"/>
  <bookViews>
    <workbookView xWindow="-110" yWindow="-110" windowWidth="19420" windowHeight="10300" activeTab="1" xr2:uid="{761A2143-4788-4C5C-951D-D3A2A3D6B583}"/>
  </bookViews>
  <sheets>
    <sheet name="Data Analysis " sheetId="1" r:id="rId1"/>
    <sheet name="ES for ALL" sheetId="3" r:id="rId2"/>
    <sheet name="ALL 10 Trials - BIG" sheetId="6" r:id="rId3"/>
    <sheet name="1st 5 Trials - SMALL" sheetId="4" r:id="rId4"/>
    <sheet name="2nd 5 Trials - SMALL" sheetId="5" r:id="rId5"/>
    <sheet name="Raw Error Scores" sheetId="2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3" l="1"/>
  <c r="B35" i="3"/>
  <c r="P2" i="6"/>
  <c r="H2" i="6"/>
  <c r="R2" i="5"/>
  <c r="R2" i="4"/>
  <c r="O3" i="6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2" i="6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2" i="5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2" i="4"/>
  <c r="E50" i="2"/>
  <c r="C51" i="2"/>
  <c r="C50" i="2"/>
  <c r="Y2" i="1"/>
  <c r="Y3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4" i="1"/>
</calcChain>
</file>

<file path=xl/sharedStrings.xml><?xml version="1.0" encoding="utf-8"?>
<sst xmlns="http://schemas.openxmlformats.org/spreadsheetml/2006/main" count="113" uniqueCount="64">
  <si>
    <t>Subject</t>
  </si>
  <si>
    <t xml:space="preserve">ES1 </t>
  </si>
  <si>
    <t>ES2</t>
  </si>
  <si>
    <t>KEY</t>
  </si>
  <si>
    <t>1st b</t>
  </si>
  <si>
    <t>1st s</t>
  </si>
  <si>
    <t>2nd b</t>
  </si>
  <si>
    <t>2nd s</t>
  </si>
  <si>
    <t>3rd b</t>
  </si>
  <si>
    <t>3rd s</t>
  </si>
  <si>
    <t>4th b</t>
  </si>
  <si>
    <t>4th s</t>
  </si>
  <si>
    <t>5th b</t>
  </si>
  <si>
    <t>5th s</t>
  </si>
  <si>
    <t>6ht b</t>
  </si>
  <si>
    <t>6th s</t>
  </si>
  <si>
    <t>7th b</t>
  </si>
  <si>
    <t>7th s</t>
  </si>
  <si>
    <t>8th b</t>
  </si>
  <si>
    <t>8th s</t>
  </si>
  <si>
    <t>9th b</t>
  </si>
  <si>
    <t>9th s</t>
  </si>
  <si>
    <t>10th b</t>
  </si>
  <si>
    <t>10th s</t>
  </si>
  <si>
    <t>NOTE:</t>
  </si>
  <si>
    <t>ES1: First 5 trials</t>
  </si>
  <si>
    <t>Dec 8th for tenth set</t>
  </si>
  <si>
    <t>ES2: 2nd 5 trials</t>
  </si>
  <si>
    <t>Dec 15th for the rest</t>
  </si>
  <si>
    <r>
      <t xml:space="preserve"> </t>
    </r>
    <r>
      <rPr>
        <b/>
        <sz val="11"/>
        <color theme="1"/>
        <rFont val="Calibri"/>
        <family val="2"/>
        <scheme val="minor"/>
      </rPr>
      <t>OBSERVATION (AM)7/25/2024</t>
    </r>
  </si>
  <si>
    <t xml:space="preserve">The right green/blue columns are averaging the small </t>
  </si>
  <si>
    <t>circles twice impacting the soundness of data.</t>
  </si>
  <si>
    <t>The highlighted columns on the left have averaged</t>
  </si>
  <si>
    <t>big and small circles once that is averaging all four at once.</t>
  </si>
  <si>
    <t>Average Error Scores for 1st 5 trials (ES1)</t>
  </si>
  <si>
    <t xml:space="preserve"> and 2nd 5 trials (ES2) : </t>
  </si>
  <si>
    <t>(THIS IS FOR ALL 4 CIRCLES TOGETHER)</t>
  </si>
  <si>
    <t>ES1 (1-5)</t>
  </si>
  <si>
    <t>ES2 (6-10)</t>
  </si>
  <si>
    <t>*Overall Avg</t>
  </si>
  <si>
    <t>1 - big</t>
  </si>
  <si>
    <t xml:space="preserve">2 - big </t>
  </si>
  <si>
    <t>3 - big</t>
  </si>
  <si>
    <t>4 - big</t>
  </si>
  <si>
    <t>5 - big</t>
  </si>
  <si>
    <t>AVERAGE ES1</t>
  </si>
  <si>
    <t xml:space="preserve">6 - big </t>
  </si>
  <si>
    <t>7 - big</t>
  </si>
  <si>
    <t>8 - big</t>
  </si>
  <si>
    <t>9 - big</t>
  </si>
  <si>
    <t>10 - big</t>
  </si>
  <si>
    <t>AVERAGE ES2</t>
  </si>
  <si>
    <t>1-small</t>
  </si>
  <si>
    <t>2-small</t>
  </si>
  <si>
    <t>3-small</t>
  </si>
  <si>
    <t>4-small</t>
  </si>
  <si>
    <t>5-small</t>
  </si>
  <si>
    <t>6-small</t>
  </si>
  <si>
    <t>7-small</t>
  </si>
  <si>
    <t>8-small</t>
  </si>
  <si>
    <t>9-small</t>
  </si>
  <si>
    <t>10-small</t>
  </si>
  <si>
    <t>B</t>
  </si>
  <si>
    <t>smalls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</si>
</sst>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4" tint="0.3999755851924192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4" borderId="0" xfId="0" applyFill="1" applyAlignment="1">
      <alignment horizontal="right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6" borderId="0" xfId="0" applyFill="1" applyAlignment="1">
      <alignment horizontal="right"/>
    </xf>
    <xf numFmtId="0" fontId="0" fillId="7" borderId="0" xfId="0" applyFill="1"/>
    <xf numFmtId="0" fontId="4" fillId="0" borderId="0" xfId="0" applyFont="1"/>
    <xf numFmtId="14" fontId="0" fillId="0" borderId="0" xfId="0" applyNumberFormat="1"/>
    <xf numFmtId="0" fontId="0" fillId="6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7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7" fillId="8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6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0" fillId="0" borderId="0" xfId="0" applyFont="1"/>
    <xf numFmtId="0" fontId="11" fillId="0" borderId="0" xfId="0" applyFont="1" applyAlignment="1">
      <alignment horizontal="center" vertical="center"/>
    </xf>
    <xf numFmtId="0" fontId="0" fillId="6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right"/>
    </xf>
    <xf numFmtId="0" fontId="0" fillId="3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85E49-4834-4F5F-917B-DBD9A6843EE9}">
  <dimension ref="A1:AC34"/>
  <sheetViews>
    <sheetView zoomScale="90" zoomScaleNormal="130" workbookViewId="0">
      <selection activeCell="E11" sqref="E11"/>
    </sheetView>
  </sheetViews>
  <sheetFormatPr defaultRowHeight="14.5" x14ac:dyDescent="0.35"/>
  <cols>
    <col min="1" max="1" width="10.1796875" customWidth="1"/>
    <col min="2" max="2" width="11.54296875" style="20" customWidth="1"/>
    <col min="3" max="3" width="12.453125" style="20" customWidth="1"/>
    <col min="5" max="5" width="51.54296875" bestFit="1" customWidth="1"/>
    <col min="7" max="7" width="8.7265625" style="16"/>
    <col min="8" max="9" width="11.1796875" bestFit="1" customWidth="1"/>
    <col min="10" max="10" width="10.81640625" customWidth="1"/>
    <col min="11" max="11" width="11.26953125" customWidth="1"/>
    <col min="26" max="26" width="9.26953125" customWidth="1"/>
    <col min="29" max="29" width="18.81640625" customWidth="1"/>
  </cols>
  <sheetData>
    <row r="1" spans="1:29" s="1" customFormat="1" x14ac:dyDescent="0.35">
      <c r="A1" s="25" t="s">
        <v>0</v>
      </c>
      <c r="B1" s="25" t="s">
        <v>1</v>
      </c>
      <c r="C1" s="26" t="s">
        <v>2</v>
      </c>
      <c r="E1" s="21" t="s">
        <v>3</v>
      </c>
      <c r="G1" s="15" t="s">
        <v>0</v>
      </c>
      <c r="H1" s="30" t="s">
        <v>4</v>
      </c>
      <c r="I1" s="30" t="s">
        <v>5</v>
      </c>
      <c r="J1" s="31" t="s">
        <v>6</v>
      </c>
      <c r="K1" s="31" t="s">
        <v>7</v>
      </c>
      <c r="L1" s="30" t="s">
        <v>8</v>
      </c>
      <c r="M1" s="30" t="s">
        <v>9</v>
      </c>
      <c r="N1" s="31" t="s">
        <v>10</v>
      </c>
      <c r="O1" s="31" t="s">
        <v>11</v>
      </c>
      <c r="P1" s="30" t="s">
        <v>12</v>
      </c>
      <c r="Q1" s="30" t="s">
        <v>13</v>
      </c>
      <c r="R1" s="31" t="s">
        <v>14</v>
      </c>
      <c r="S1" s="31" t="s">
        <v>15</v>
      </c>
      <c r="T1" s="30" t="s">
        <v>16</v>
      </c>
      <c r="U1" s="30" t="s">
        <v>17</v>
      </c>
      <c r="V1" s="31" t="s">
        <v>18</v>
      </c>
      <c r="W1" s="31" t="s">
        <v>19</v>
      </c>
      <c r="X1" s="30" t="s">
        <v>20</v>
      </c>
      <c r="Y1" s="30" t="s">
        <v>21</v>
      </c>
      <c r="Z1" s="31" t="s">
        <v>22</v>
      </c>
      <c r="AA1" s="31" t="s">
        <v>23</v>
      </c>
      <c r="AC1" s="1" t="s">
        <v>24</v>
      </c>
    </row>
    <row r="2" spans="1:29" x14ac:dyDescent="0.35">
      <c r="A2" s="16">
        <v>1001</v>
      </c>
      <c r="B2" s="24">
        <v>0.16381999999999999</v>
      </c>
      <c r="C2" s="20">
        <v>0.15043999999999999</v>
      </c>
      <c r="E2" s="22" t="s">
        <v>25</v>
      </c>
      <c r="G2" s="16">
        <v>1001</v>
      </c>
      <c r="H2" s="32">
        <v>0.13173000000000001</v>
      </c>
      <c r="I2" s="32">
        <v>0.14627000000000001</v>
      </c>
      <c r="J2" s="33">
        <v>0.116603981398977</v>
      </c>
      <c r="K2" s="33">
        <v>0.32475383050079165</v>
      </c>
      <c r="L2" s="32">
        <v>9.0370551941318794E-2</v>
      </c>
      <c r="M2" s="32">
        <v>0.16119418155130569</v>
      </c>
      <c r="N2" s="33">
        <v>0.13229508689650399</v>
      </c>
      <c r="O2" s="33">
        <v>0.13213198823672564</v>
      </c>
      <c r="P2" s="32">
        <v>0.104345470178921</v>
      </c>
      <c r="Q2" s="32">
        <v>0.13603122137947901</v>
      </c>
      <c r="R2" s="33">
        <v>0.15963655556766701</v>
      </c>
      <c r="S2" s="33">
        <v>0.12205659406780545</v>
      </c>
      <c r="T2" s="32">
        <v>0.16085642022081001</v>
      </c>
      <c r="U2" s="32">
        <v>0.23543694829165066</v>
      </c>
      <c r="V2" s="33">
        <v>0.26858141491098803</v>
      </c>
      <c r="W2" s="33">
        <v>9.9189750266346535E-2</v>
      </c>
      <c r="X2" s="32">
        <v>0.15802816251287999</v>
      </c>
      <c r="Y2" s="32">
        <f>AVERAGE('Raw Error Scores'!C35:C37)</f>
        <v>0.11819431583472639</v>
      </c>
      <c r="Z2" s="33">
        <v>0.15962205798198101</v>
      </c>
      <c r="AA2" s="33">
        <v>0.12578099455159963</v>
      </c>
      <c r="AC2" s="14" t="s">
        <v>26</v>
      </c>
    </row>
    <row r="3" spans="1:29" x14ac:dyDescent="0.35">
      <c r="A3" s="16">
        <v>1002</v>
      </c>
      <c r="B3" s="20">
        <v>0.12205000000000001</v>
      </c>
      <c r="C3" s="20">
        <v>0.14691000000000001</v>
      </c>
      <c r="E3" s="23" t="s">
        <v>27</v>
      </c>
      <c r="G3" s="16">
        <v>1002</v>
      </c>
      <c r="H3" s="32">
        <v>0.13505</v>
      </c>
      <c r="I3" s="32">
        <v>8.9097999999999997E-2</v>
      </c>
      <c r="J3" s="33">
        <v>0.118186167129289</v>
      </c>
      <c r="K3" s="33">
        <v>9.9166550267278386E-2</v>
      </c>
      <c r="L3" s="32">
        <v>0.180238604236821</v>
      </c>
      <c r="M3" s="32">
        <v>0.11681234259826974</v>
      </c>
      <c r="N3" s="33">
        <v>0.14626102621877901</v>
      </c>
      <c r="O3" s="33">
        <v>0.10243394858445089</v>
      </c>
      <c r="P3" s="32">
        <v>0.171716947571805</v>
      </c>
      <c r="Q3" s="32">
        <v>0.15564102252961198</v>
      </c>
      <c r="R3" s="33">
        <v>0.28593262071929698</v>
      </c>
      <c r="S3" s="33">
        <v>0.16049722177065465</v>
      </c>
      <c r="T3" s="32">
        <v>0.18884495401208501</v>
      </c>
      <c r="U3" s="32">
        <v>0.13641691267231401</v>
      </c>
      <c r="V3" s="33">
        <v>0.16604690317107301</v>
      </c>
      <c r="W3" s="33">
        <v>0.12191335948561023</v>
      </c>
      <c r="X3" s="32">
        <v>0.11855809602881601</v>
      </c>
      <c r="Y3" s="32">
        <f>AVERAGE('Raw Error Scores'!D35:D37)</f>
        <v>0.10656735666731722</v>
      </c>
      <c r="Z3" s="33">
        <v>9.06790929112294E-2</v>
      </c>
      <c r="AA3" s="33">
        <v>0.17063500146963836</v>
      </c>
      <c r="AC3" s="14" t="s">
        <v>28</v>
      </c>
    </row>
    <row r="4" spans="1:29" x14ac:dyDescent="0.35">
      <c r="A4" s="16">
        <v>1003</v>
      </c>
      <c r="B4" s="20">
        <v>0.10931</v>
      </c>
      <c r="C4" s="20">
        <v>0.125</v>
      </c>
      <c r="E4" s="1"/>
      <c r="G4" s="16">
        <v>1003</v>
      </c>
      <c r="H4" s="32">
        <v>0.1234</v>
      </c>
      <c r="I4" s="32">
        <v>0.10596999999999999</v>
      </c>
      <c r="J4" s="33">
        <v>0.131052642127723</v>
      </c>
      <c r="K4" s="33">
        <v>8.9138803648094067E-2</v>
      </c>
      <c r="L4" s="32">
        <v>7.6708270150697894E-2</v>
      </c>
      <c r="M4" s="32">
        <v>0.12417228349828702</v>
      </c>
      <c r="N4" s="33">
        <v>9.6860685107247296E-2</v>
      </c>
      <c r="O4" s="33">
        <v>0.11265466243345434</v>
      </c>
      <c r="P4" s="32">
        <v>0.13342215984773501</v>
      </c>
      <c r="Q4" s="32">
        <v>0.10967537786125565</v>
      </c>
      <c r="R4" s="33">
        <v>0.14854035293089499</v>
      </c>
      <c r="S4" s="33">
        <v>0.11244236332836283</v>
      </c>
      <c r="T4" s="32">
        <v>9.7093792715441302E-2</v>
      </c>
      <c r="U4" s="32">
        <v>0.13338074639082034</v>
      </c>
      <c r="V4" s="33">
        <v>0.128807611529314</v>
      </c>
      <c r="W4" s="33">
        <v>0.10059238118659031</v>
      </c>
      <c r="X4" s="32">
        <v>0.19424739859942</v>
      </c>
      <c r="Y4" s="32">
        <f>AVERAGE('Raw Error Scores'!E35:E37)</f>
        <v>0.13183298505086857</v>
      </c>
      <c r="Z4" s="33">
        <v>0.132877685768301</v>
      </c>
      <c r="AA4" s="33">
        <v>0.12125369099528736</v>
      </c>
    </row>
    <row r="5" spans="1:29" x14ac:dyDescent="0.35">
      <c r="A5" s="16">
        <v>1004</v>
      </c>
      <c r="B5" s="20">
        <v>0.10918</v>
      </c>
      <c r="C5" s="20">
        <v>0.14165</v>
      </c>
      <c r="E5" s="27" t="s">
        <v>29</v>
      </c>
      <c r="G5" s="16">
        <v>1004</v>
      </c>
      <c r="H5" s="32">
        <v>0.15712999999999999</v>
      </c>
      <c r="I5" s="32">
        <v>9.5864000000000005E-2</v>
      </c>
      <c r="J5" s="33">
        <v>0.111825747259636</v>
      </c>
      <c r="K5" s="33">
        <v>0.10456119376186507</v>
      </c>
      <c r="L5" s="32">
        <v>0.108259384729883</v>
      </c>
      <c r="M5" s="32">
        <v>9.45505637572705E-2</v>
      </c>
      <c r="N5" s="33">
        <v>0.15204033014604201</v>
      </c>
      <c r="O5" s="33">
        <v>0.11730722896061511</v>
      </c>
      <c r="P5" s="32">
        <v>0.117735839069937</v>
      </c>
      <c r="Q5" s="32">
        <v>9.9938834465277029E-2</v>
      </c>
      <c r="R5" s="33">
        <v>0.20428441686079499</v>
      </c>
      <c r="S5" s="33">
        <v>0.13535627364862229</v>
      </c>
      <c r="T5" s="32">
        <v>0.29777461472614503</v>
      </c>
      <c r="U5" s="32">
        <v>0.14908646400503334</v>
      </c>
      <c r="V5" s="33">
        <v>0.17166906836885601</v>
      </c>
      <c r="W5" s="33">
        <v>0.116685962994435</v>
      </c>
      <c r="X5" s="32">
        <v>0.156344733495383</v>
      </c>
      <c r="Y5" s="32">
        <f>AVERAGE('Raw Error Scores'!F35:F37)</f>
        <v>0.11914759892789199</v>
      </c>
      <c r="Z5" s="33">
        <v>9.1094742292459799E-2</v>
      </c>
      <c r="AA5" s="33">
        <v>0.11703300031134671</v>
      </c>
    </row>
    <row r="6" spans="1:29" x14ac:dyDescent="0.35">
      <c r="A6" s="16">
        <v>1005</v>
      </c>
      <c r="B6" s="20">
        <v>0.17904</v>
      </c>
      <c r="C6" s="20">
        <v>0.17418</v>
      </c>
      <c r="E6" s="28" t="s">
        <v>30</v>
      </c>
      <c r="G6" s="16">
        <v>1005</v>
      </c>
      <c r="H6" s="32">
        <v>0.24656</v>
      </c>
      <c r="I6" s="32">
        <v>0.15306</v>
      </c>
      <c r="J6" s="33">
        <v>0.225583130490464</v>
      </c>
      <c r="K6" s="33">
        <v>0.12745192907861633</v>
      </c>
      <c r="L6" s="32">
        <v>0.14854598451182</v>
      </c>
      <c r="M6" s="32">
        <v>0.20138200955276297</v>
      </c>
      <c r="N6" s="33">
        <v>0.321672070140467</v>
      </c>
      <c r="O6" s="33">
        <v>0.12107167291796533</v>
      </c>
      <c r="P6" s="32">
        <v>0.28352669835127497</v>
      </c>
      <c r="Q6" s="32">
        <v>0.18202633439244301</v>
      </c>
      <c r="R6" s="33">
        <v>0.30996386856486402</v>
      </c>
      <c r="S6" s="33">
        <v>0.15720779491874934</v>
      </c>
      <c r="T6" s="32">
        <v>0.19711092447939499</v>
      </c>
      <c r="U6" s="32">
        <v>0.1276420456134571</v>
      </c>
      <c r="V6" s="33">
        <v>0.229936674129885</v>
      </c>
      <c r="W6" s="33">
        <v>0.173714519715263</v>
      </c>
      <c r="X6" s="32">
        <v>0.17911651420296101</v>
      </c>
      <c r="Y6" s="32">
        <f>AVERAGE('Raw Error Scores'!G35:G37)</f>
        <v>0.15926445999011901</v>
      </c>
      <c r="Z6" s="33">
        <v>0.212620543865708</v>
      </c>
      <c r="AA6" s="33">
        <v>0.16715492510982499</v>
      </c>
    </row>
    <row r="7" spans="1:29" x14ac:dyDescent="0.35">
      <c r="A7" s="16">
        <v>1006</v>
      </c>
      <c r="B7" s="20">
        <v>0.12441000000000001</v>
      </c>
      <c r="C7" s="20">
        <v>0.11507000000000001</v>
      </c>
      <c r="E7" s="28" t="s">
        <v>31</v>
      </c>
      <c r="G7" s="16">
        <v>1006</v>
      </c>
      <c r="H7" s="32">
        <v>0.14108000000000001</v>
      </c>
      <c r="I7" s="32">
        <v>0.10766000000000001</v>
      </c>
      <c r="J7" s="33">
        <v>9.5371028711970299E-2</v>
      </c>
      <c r="K7" s="33">
        <v>0.1244851880029314</v>
      </c>
      <c r="L7" s="32">
        <v>0.119946632029587</v>
      </c>
      <c r="M7" s="32">
        <v>0.11024645553405554</v>
      </c>
      <c r="N7" s="33">
        <v>0.210101140927376</v>
      </c>
      <c r="O7" s="33">
        <v>0.12198589120492166</v>
      </c>
      <c r="P7" s="32">
        <v>0.20333950218107799</v>
      </c>
      <c r="Q7" s="32">
        <v>0.10841497900518167</v>
      </c>
      <c r="R7" s="33">
        <v>0.14015373941422701</v>
      </c>
      <c r="S7" s="33">
        <v>0.10457118199739866</v>
      </c>
      <c r="T7" s="32">
        <v>0.14131092205863799</v>
      </c>
      <c r="U7" s="32">
        <v>8.5181264738169338E-2</v>
      </c>
      <c r="V7" s="33">
        <v>9.8478454818255706E-2</v>
      </c>
      <c r="W7" s="33">
        <v>0.12901222562425796</v>
      </c>
      <c r="X7" s="32">
        <v>0.107395078617566</v>
      </c>
      <c r="Y7" s="32">
        <f>AVERAGE('Raw Error Scores'!H35:H37)</f>
        <v>0.11424765293780233</v>
      </c>
      <c r="Z7" s="33">
        <v>0.15408767214205901</v>
      </c>
      <c r="AA7" s="33">
        <v>0.12033245012363232</v>
      </c>
    </row>
    <row r="8" spans="1:29" x14ac:dyDescent="0.35">
      <c r="A8" s="16">
        <v>1009</v>
      </c>
      <c r="B8" s="20">
        <v>0.16417999999999999</v>
      </c>
      <c r="C8" s="20">
        <v>0.13674</v>
      </c>
      <c r="E8" s="28"/>
      <c r="G8" s="16">
        <v>1009</v>
      </c>
      <c r="H8" s="32">
        <v>0.13264999999999999</v>
      </c>
      <c r="I8" s="32">
        <v>0.20683000000000001</v>
      </c>
      <c r="J8" s="33">
        <v>0.111363918724712</v>
      </c>
      <c r="K8" s="33">
        <v>0.14068500950225568</v>
      </c>
      <c r="L8" s="32">
        <v>9.1864787158187494E-2</v>
      </c>
      <c r="M8" s="32">
        <v>0.18594631157136865</v>
      </c>
      <c r="N8" s="33">
        <v>8.7749838720616299E-2</v>
      </c>
      <c r="O8" s="33">
        <v>0.20612471079193537</v>
      </c>
      <c r="P8" s="32">
        <v>0.121441132877057</v>
      </c>
      <c r="Q8" s="32">
        <v>0.17322782721731367</v>
      </c>
      <c r="R8" s="33">
        <v>0.10911063541720099</v>
      </c>
      <c r="S8" s="33">
        <v>0.18867687805194766</v>
      </c>
      <c r="T8" s="32">
        <v>9.2280787777824794E-2</v>
      </c>
      <c r="U8" s="32">
        <v>0.14440798322280798</v>
      </c>
      <c r="V8" s="33">
        <v>6.1224071525212802E-2</v>
      </c>
      <c r="W8" s="33">
        <v>0.14575075523082601</v>
      </c>
      <c r="X8" s="32">
        <v>0.112192672284911</v>
      </c>
      <c r="Y8" s="32">
        <f>AVERAGE('Raw Error Scores'!I35:I37)</f>
        <v>0.13201066276471998</v>
      </c>
      <c r="Z8" s="33">
        <v>6.5775546289209702E-2</v>
      </c>
      <c r="AA8" s="33">
        <v>0.15388974619786666</v>
      </c>
    </row>
    <row r="9" spans="1:29" x14ac:dyDescent="0.35">
      <c r="A9" s="16">
        <v>2001</v>
      </c>
      <c r="B9" s="20">
        <v>0.15611</v>
      </c>
      <c r="C9" s="20">
        <v>0.15354999999999999</v>
      </c>
      <c r="E9" s="28" t="s">
        <v>32</v>
      </c>
      <c r="G9" s="16">
        <v>2001</v>
      </c>
      <c r="H9" s="32">
        <v>0.19983999999999999</v>
      </c>
      <c r="I9" s="32">
        <v>0.13542000000000001</v>
      </c>
      <c r="J9" s="33">
        <v>0.14678327877170799</v>
      </c>
      <c r="K9" s="33">
        <v>0.13985097052158565</v>
      </c>
      <c r="L9" s="32">
        <v>0.22878195195926501</v>
      </c>
      <c r="M9" s="32">
        <v>0.17016188685366165</v>
      </c>
      <c r="N9" s="33">
        <v>0.14922341881422299</v>
      </c>
      <c r="O9" s="33">
        <v>0.11533751833699828</v>
      </c>
      <c r="P9" s="32">
        <v>0.26979081587812698</v>
      </c>
      <c r="Q9" s="32">
        <v>0.14849132632569467</v>
      </c>
      <c r="R9" s="33">
        <v>0.20591809712343601</v>
      </c>
      <c r="S9" s="33">
        <v>0.15384934396145533</v>
      </c>
      <c r="T9" s="32">
        <v>0.134352003055006</v>
      </c>
      <c r="U9" s="32">
        <v>0.21384910146289737</v>
      </c>
      <c r="V9" s="33">
        <v>9.8045123660791003E-2</v>
      </c>
      <c r="W9" s="33">
        <v>0.13500655927383801</v>
      </c>
      <c r="X9" s="32">
        <v>0.112312394089315</v>
      </c>
      <c r="Y9" s="32">
        <f>AVERAGE('Raw Error Scores'!J35:J37)</f>
        <v>0.13468818521738898</v>
      </c>
      <c r="Z9" s="33">
        <v>0.166006445686462</v>
      </c>
      <c r="AA9" s="33">
        <v>0.14742634878970898</v>
      </c>
    </row>
    <row r="10" spans="1:29" x14ac:dyDescent="0.35">
      <c r="A10" s="16">
        <v>2002</v>
      </c>
      <c r="B10" s="20">
        <v>8.8491E-2</v>
      </c>
      <c r="C10" s="20">
        <v>0.10979999999999999</v>
      </c>
      <c r="E10" s="29" t="s">
        <v>33</v>
      </c>
      <c r="G10" s="16">
        <v>2002</v>
      </c>
      <c r="H10" s="32">
        <v>9.1655E-2</v>
      </c>
      <c r="I10" s="32">
        <v>0.11662</v>
      </c>
      <c r="J10" s="33">
        <v>4.8680984083080199E-2</v>
      </c>
      <c r="K10" s="33">
        <v>7.614430368414031E-2</v>
      </c>
      <c r="L10" s="32">
        <v>9.5660613027472197E-2</v>
      </c>
      <c r="M10" s="32">
        <v>7.9856267964196134E-2</v>
      </c>
      <c r="N10" s="33">
        <v>9.1094807470581504E-2</v>
      </c>
      <c r="O10" s="33">
        <v>7.6662524252453304E-2</v>
      </c>
      <c r="P10" s="32">
        <v>7.4365012479472706E-2</v>
      </c>
      <c r="Q10" s="32">
        <v>0.10684025266011987</v>
      </c>
      <c r="R10" s="33">
        <v>0.117817536045454</v>
      </c>
      <c r="S10" s="33">
        <v>9.6927424076593438E-2</v>
      </c>
      <c r="T10" s="32">
        <v>7.5890063916862593E-2</v>
      </c>
      <c r="U10" s="32">
        <v>9.0161391886081035E-2</v>
      </c>
      <c r="V10" s="33">
        <v>0.14253977586653799</v>
      </c>
      <c r="W10" s="33">
        <v>0.10564416862838925</v>
      </c>
      <c r="X10" s="32">
        <v>0.112482959867275</v>
      </c>
      <c r="Y10" s="32">
        <f>AVERAGE('Raw Error Scores'!K35:K37)</f>
        <v>0.13247382622189172</v>
      </c>
      <c r="Z10" s="33">
        <v>0.13195246139373801</v>
      </c>
      <c r="AA10" s="33">
        <v>0.11321550026594281</v>
      </c>
    </row>
    <row r="11" spans="1:29" x14ac:dyDescent="0.35">
      <c r="A11" s="16">
        <v>2004</v>
      </c>
      <c r="B11" s="20">
        <v>0.18532999999999999</v>
      </c>
      <c r="C11" s="20">
        <v>0.16014</v>
      </c>
      <c r="G11" s="16">
        <v>2004</v>
      </c>
      <c r="H11" s="32">
        <v>0.2024</v>
      </c>
      <c r="I11" s="32">
        <v>0.16325999999999999</v>
      </c>
      <c r="J11" s="33">
        <v>0.12164045781883299</v>
      </c>
      <c r="K11" s="33">
        <v>0.13766918547049833</v>
      </c>
      <c r="L11" s="32">
        <v>0.23332517557774901</v>
      </c>
      <c r="M11" s="32">
        <v>0.23806047620724399</v>
      </c>
      <c r="N11" s="33">
        <v>0.18527961281147801</v>
      </c>
      <c r="O11" s="33">
        <v>0.21362640278016234</v>
      </c>
      <c r="P11" s="32">
        <v>0.188820890494315</v>
      </c>
      <c r="Q11" s="32">
        <v>0.172423266095975</v>
      </c>
      <c r="R11" s="33">
        <v>0.116548284706392</v>
      </c>
      <c r="S11" s="33">
        <v>0.18522913909361835</v>
      </c>
      <c r="T11" s="32">
        <v>0.140174083663759</v>
      </c>
      <c r="U11" s="32">
        <v>0.16918576465427701</v>
      </c>
      <c r="V11" s="33">
        <v>0.164896091499594</v>
      </c>
      <c r="W11" s="33">
        <v>0.18522912636345401</v>
      </c>
      <c r="X11" s="32">
        <v>0.19508766485814999</v>
      </c>
      <c r="Y11" s="32">
        <f>AVERAGE('Raw Error Scores'!L35:L37)</f>
        <v>0.13294849668537517</v>
      </c>
      <c r="Z11" s="33">
        <v>0.100648008400421</v>
      </c>
      <c r="AA11" s="33">
        <v>0.15586915756892902</v>
      </c>
    </row>
    <row r="12" spans="1:29" x14ac:dyDescent="0.35">
      <c r="A12" s="16">
        <v>2005</v>
      </c>
      <c r="B12" s="20">
        <v>0.18495</v>
      </c>
      <c r="C12" s="20">
        <v>0.17931</v>
      </c>
      <c r="G12" s="16">
        <v>2005</v>
      </c>
      <c r="H12" s="32">
        <v>0.17649999999999999</v>
      </c>
      <c r="I12" s="32">
        <v>0.11942</v>
      </c>
      <c r="J12" s="33">
        <v>0.12858855674695699</v>
      </c>
      <c r="K12" s="33">
        <v>0.16917777051826899</v>
      </c>
      <c r="L12" s="32">
        <v>0.13832724285530201</v>
      </c>
      <c r="M12" s="32">
        <v>0.26058788423049167</v>
      </c>
      <c r="N12" s="33">
        <v>0.17572404366549399</v>
      </c>
      <c r="O12" s="33">
        <v>0.25039571248389869</v>
      </c>
      <c r="P12" s="32">
        <v>0.189929611370105</v>
      </c>
      <c r="Q12" s="32">
        <v>0.16390430792569166</v>
      </c>
      <c r="R12" s="33">
        <v>0.176443112487112</v>
      </c>
      <c r="S12" s="33">
        <v>0.17286710086432033</v>
      </c>
      <c r="T12" s="32">
        <v>0.174424971267923</v>
      </c>
      <c r="U12" s="32">
        <v>0.18308752460416514</v>
      </c>
      <c r="V12" s="33">
        <v>0.163730049268525</v>
      </c>
      <c r="W12" s="33">
        <v>0.17006125430795596</v>
      </c>
      <c r="X12" s="32">
        <v>0.272618058388857</v>
      </c>
      <c r="Y12" s="32">
        <f>AVERAGE('Raw Error Scores'!M35:M37)</f>
        <v>0.20441318946985568</v>
      </c>
      <c r="Z12" s="33">
        <v>0.176591579980696</v>
      </c>
      <c r="AA12" s="33">
        <v>0.14373445865276799</v>
      </c>
    </row>
    <row r="13" spans="1:29" x14ac:dyDescent="0.35">
      <c r="A13" s="16">
        <v>2006</v>
      </c>
      <c r="B13" s="20">
        <v>0.12064</v>
      </c>
      <c r="C13" s="20">
        <v>0.12399</v>
      </c>
      <c r="G13" s="16">
        <v>2006</v>
      </c>
      <c r="H13" s="32">
        <v>0.13405</v>
      </c>
      <c r="I13" s="32">
        <v>0.1071</v>
      </c>
      <c r="J13" s="33">
        <v>0.102798710753829</v>
      </c>
      <c r="K13" s="33">
        <v>0.1001884957515053</v>
      </c>
      <c r="L13" s="32">
        <v>0.15485423225983999</v>
      </c>
      <c r="M13" s="32">
        <v>0.11151524084942349</v>
      </c>
      <c r="N13" s="33">
        <v>0.14762014066398099</v>
      </c>
      <c r="O13" s="33">
        <v>0.15360160714495527</v>
      </c>
      <c r="P13" s="32">
        <v>8.1712948052122494E-2</v>
      </c>
      <c r="Q13" s="32">
        <v>0.12481939175307266</v>
      </c>
      <c r="R13" s="33">
        <v>0.10067640716801</v>
      </c>
      <c r="S13" s="33">
        <v>0.1352551657869504</v>
      </c>
      <c r="T13" s="32">
        <v>0.19320702343371399</v>
      </c>
      <c r="U13" s="32">
        <v>0.11236086035639607</v>
      </c>
      <c r="V13" s="33">
        <v>0.14528625214972199</v>
      </c>
      <c r="W13" s="33">
        <v>0.13583429428361904</v>
      </c>
      <c r="X13" s="32">
        <v>9.4211820374831903E-2</v>
      </c>
      <c r="Y13" s="32">
        <f>AVERAGE('Raw Error Scores'!N35:N37)</f>
        <v>0.11243239384741717</v>
      </c>
      <c r="Z13" s="33">
        <v>0.18738234890883099</v>
      </c>
      <c r="AA13" s="33">
        <v>9.0482890848524941E-2</v>
      </c>
    </row>
    <row r="14" spans="1:29" x14ac:dyDescent="0.35">
      <c r="A14" s="16">
        <v>2007</v>
      </c>
      <c r="B14" s="20">
        <v>0.15223</v>
      </c>
      <c r="C14" s="20">
        <v>0.15392</v>
      </c>
      <c r="G14" s="16">
        <v>2007</v>
      </c>
      <c r="H14" s="32">
        <v>0.21046999999999999</v>
      </c>
      <c r="I14" s="32">
        <v>0.11652999999999999</v>
      </c>
      <c r="J14" s="33">
        <v>0.25759687206422799</v>
      </c>
      <c r="K14" s="33">
        <v>0.13689528357352398</v>
      </c>
      <c r="L14" s="32">
        <v>0.180588708664561</v>
      </c>
      <c r="M14" s="32">
        <v>0.10466923236341726</v>
      </c>
      <c r="N14" s="33">
        <v>0.217405256754714</v>
      </c>
      <c r="O14" s="33">
        <v>0.12766601467696334</v>
      </c>
      <c r="P14" s="32">
        <v>0.17498457297240999</v>
      </c>
      <c r="Q14" s="32">
        <v>0.182075349399482</v>
      </c>
      <c r="R14" s="33">
        <v>0.206526085345316</v>
      </c>
      <c r="S14" s="33">
        <v>0.12482220590690907</v>
      </c>
      <c r="T14" s="32">
        <v>0.158088614945883</v>
      </c>
      <c r="U14" s="32">
        <v>0.19545634108479601</v>
      </c>
      <c r="V14" s="33">
        <v>0.10466917455183999</v>
      </c>
      <c r="W14" s="33">
        <v>0.19050530838648502</v>
      </c>
      <c r="X14" s="32">
        <v>0.12950888734015001</v>
      </c>
      <c r="Y14" s="32">
        <f>AVERAGE('Raw Error Scores'!O35:O37)</f>
        <v>0.13184866274359466</v>
      </c>
      <c r="Z14" s="33">
        <v>0.13712810955625501</v>
      </c>
      <c r="AA14" s="33">
        <v>0.13818524775872851</v>
      </c>
    </row>
    <row r="15" spans="1:29" x14ac:dyDescent="0.35">
      <c r="A15" s="16">
        <v>2008</v>
      </c>
      <c r="B15" s="20">
        <v>0.28498000000000001</v>
      </c>
      <c r="C15" s="20">
        <v>0.34844000000000003</v>
      </c>
      <c r="G15" s="16">
        <v>2008</v>
      </c>
      <c r="H15" s="32">
        <v>0.27284999999999998</v>
      </c>
      <c r="I15" s="32">
        <v>0.28988999999999998</v>
      </c>
      <c r="J15" s="33">
        <v>0.26791247114705002</v>
      </c>
      <c r="K15" s="33">
        <v>0.25202137039804334</v>
      </c>
      <c r="L15" s="32">
        <v>0.34629450334797801</v>
      </c>
      <c r="M15" s="32">
        <v>0.39066285528784234</v>
      </c>
      <c r="N15" s="33">
        <v>0.30377699096816102</v>
      </c>
      <c r="O15" s="33">
        <v>0.23552296776554468</v>
      </c>
      <c r="P15" s="32">
        <v>0.36213429418195497</v>
      </c>
      <c r="Q15" s="32">
        <v>0.21409755158470734</v>
      </c>
      <c r="R15" s="33">
        <v>0.82047796926301397</v>
      </c>
      <c r="S15" s="33">
        <v>0.31693425699959438</v>
      </c>
      <c r="T15" s="32">
        <v>0.38343893748179297</v>
      </c>
      <c r="U15" s="32">
        <v>0.25623379868707802</v>
      </c>
      <c r="V15" s="33">
        <v>0.27919552621907101</v>
      </c>
      <c r="W15" s="33">
        <v>0.27855091442091301</v>
      </c>
      <c r="X15" s="32">
        <v>0.37437890933200602</v>
      </c>
      <c r="Y15" s="32">
        <f>AVERAGE('Raw Error Scores'!P35:P37)</f>
        <v>0.42649503764619867</v>
      </c>
      <c r="Z15" s="33">
        <v>0.37864767104300801</v>
      </c>
      <c r="AA15" s="33">
        <v>0.29936060667658865</v>
      </c>
    </row>
    <row r="16" spans="1:29" x14ac:dyDescent="0.35">
      <c r="A16" s="16">
        <v>2009</v>
      </c>
      <c r="B16" s="20">
        <v>0.13852</v>
      </c>
      <c r="C16" s="20">
        <v>0.19771</v>
      </c>
      <c r="G16" s="16">
        <v>2009</v>
      </c>
      <c r="H16" s="32">
        <v>0.14008999999999999</v>
      </c>
      <c r="I16" s="32">
        <v>9.5152E-2</v>
      </c>
      <c r="J16" s="33">
        <v>0.1250577983967</v>
      </c>
      <c r="K16" s="33">
        <v>0.112154947618658</v>
      </c>
      <c r="L16" s="32">
        <v>0.17185679059481501</v>
      </c>
      <c r="M16" s="32">
        <v>0.14910483918233866</v>
      </c>
      <c r="N16" s="33">
        <v>0.173810740148475</v>
      </c>
      <c r="O16" s="33">
        <v>0.15281255107238767</v>
      </c>
      <c r="P16" s="32">
        <v>0.15945766386466501</v>
      </c>
      <c r="Q16" s="32">
        <v>0.15751058967086068</v>
      </c>
      <c r="R16" s="33">
        <v>0.236130760718083</v>
      </c>
      <c r="S16" s="33">
        <v>0.165710771826311</v>
      </c>
      <c r="T16" s="32">
        <v>0.19161680604745501</v>
      </c>
      <c r="U16" s="32">
        <v>0.23259249844296401</v>
      </c>
      <c r="V16" s="33">
        <v>0.16440554400785401</v>
      </c>
      <c r="W16" s="33">
        <v>0.16836270978480031</v>
      </c>
      <c r="X16" s="32">
        <v>0.131020581591136</v>
      </c>
      <c r="Y16" s="32">
        <f>AVERAGE('Raw Error Scores'!Q35:Q37)</f>
        <v>0.19122394668120202</v>
      </c>
      <c r="Z16" s="33">
        <v>0.49377683870067002</v>
      </c>
      <c r="AA16" s="33">
        <v>0.15453360131718966</v>
      </c>
    </row>
    <row r="17" spans="1:27" x14ac:dyDescent="0.35">
      <c r="A17" s="16">
        <v>2010</v>
      </c>
      <c r="B17" s="20">
        <v>0.17299999999999999</v>
      </c>
      <c r="C17" s="20">
        <v>0.15795000000000001</v>
      </c>
      <c r="G17" s="16">
        <v>2010</v>
      </c>
      <c r="H17" s="32">
        <v>0.21293000000000001</v>
      </c>
      <c r="I17" s="32">
        <v>0.23843</v>
      </c>
      <c r="J17" s="33">
        <v>0.18083832680784101</v>
      </c>
      <c r="K17" s="33">
        <v>0.15817165297734834</v>
      </c>
      <c r="L17" s="32">
        <v>0.16632602633427501</v>
      </c>
      <c r="M17" s="32">
        <v>0.15330642435436234</v>
      </c>
      <c r="N17" s="33">
        <v>0.16682236520222599</v>
      </c>
      <c r="O17" s="33">
        <v>0.13294717352103733</v>
      </c>
      <c r="P17" s="32">
        <v>0.27562024327064799</v>
      </c>
      <c r="Q17" s="32">
        <v>0.13629431439138087</v>
      </c>
      <c r="R17" s="33">
        <v>0.18557891379490399</v>
      </c>
      <c r="S17" s="33">
        <v>0.11771573176648432</v>
      </c>
      <c r="T17" s="32">
        <v>0.15184180422664001</v>
      </c>
      <c r="U17" s="32">
        <v>0.19128212164788802</v>
      </c>
      <c r="V17" s="33">
        <v>0.171823207729496</v>
      </c>
      <c r="W17" s="33">
        <v>0.18259110905597767</v>
      </c>
      <c r="X17" s="32">
        <v>0.132261411811124</v>
      </c>
      <c r="Y17" s="32">
        <f>AVERAGE('Raw Error Scores'!R35:R37)</f>
        <v>0.168803606075034</v>
      </c>
      <c r="Z17" s="33">
        <v>0.18976708535272699</v>
      </c>
      <c r="AA17" s="33">
        <v>0.11549517925175083</v>
      </c>
    </row>
    <row r="18" spans="1:27" x14ac:dyDescent="0.35">
      <c r="A18" s="16">
        <v>2011</v>
      </c>
      <c r="B18" s="20">
        <v>0.10543</v>
      </c>
      <c r="C18" s="20">
        <v>0.12021</v>
      </c>
      <c r="G18" s="16">
        <v>2011</v>
      </c>
      <c r="H18" s="32">
        <v>0.2399</v>
      </c>
      <c r="I18" s="32">
        <v>0.11687</v>
      </c>
      <c r="J18" s="33">
        <v>0.119985301501061</v>
      </c>
      <c r="K18" s="33">
        <v>0.10412822053685646</v>
      </c>
      <c r="L18" s="32">
        <v>8.73156397016389E-2</v>
      </c>
      <c r="M18" s="32">
        <v>7.9890111064588307E-2</v>
      </c>
      <c r="N18" s="33">
        <v>0.10932705384088399</v>
      </c>
      <c r="O18" s="33">
        <v>9.1248913155410435E-2</v>
      </c>
      <c r="P18" s="32">
        <v>0.15112799657842699</v>
      </c>
      <c r="Q18" s="32">
        <v>7.4861302827170254E-2</v>
      </c>
      <c r="R18" s="33">
        <v>0.211807924006434</v>
      </c>
      <c r="S18" s="33">
        <v>8.8309494858647961E-2</v>
      </c>
      <c r="T18" s="32">
        <v>9.38111901740558E-2</v>
      </c>
      <c r="U18" s="32">
        <v>0.11486743119906295</v>
      </c>
      <c r="V18" s="33">
        <v>0.13784741267497999</v>
      </c>
      <c r="W18" s="33">
        <v>0.1203340800246156</v>
      </c>
      <c r="X18" s="32">
        <v>0.16124158439733699</v>
      </c>
      <c r="Y18" s="32">
        <f>AVERAGE('Raw Error Scores'!S35:S37)</f>
        <v>0.1132301875077452</v>
      </c>
      <c r="Z18" s="33">
        <v>0.13379227467047999</v>
      </c>
      <c r="AA18" s="33">
        <v>0.11848338751261267</v>
      </c>
    </row>
    <row r="19" spans="1:27" x14ac:dyDescent="0.35">
      <c r="A19" s="16">
        <v>2012</v>
      </c>
      <c r="B19" s="20">
        <v>0.12207999999999999</v>
      </c>
      <c r="C19" s="20">
        <v>0.11276</v>
      </c>
      <c r="G19" s="16">
        <v>2012</v>
      </c>
      <c r="H19" s="32">
        <v>0.10697</v>
      </c>
      <c r="I19" s="32">
        <v>0.1162</v>
      </c>
      <c r="J19" s="33">
        <v>0.14682841945400199</v>
      </c>
      <c r="K19" s="33">
        <v>0.12733927537062301</v>
      </c>
      <c r="L19" s="32">
        <v>0.135204088185158</v>
      </c>
      <c r="M19" s="32">
        <v>0.14077871944550066</v>
      </c>
      <c r="N19" s="33">
        <v>0.13590068646400999</v>
      </c>
      <c r="O19" s="33">
        <v>0.122538614479781</v>
      </c>
      <c r="P19" s="32">
        <v>0.118420083976704</v>
      </c>
      <c r="Q19" s="32">
        <v>9.2565587022588172E-2</v>
      </c>
      <c r="R19" s="33">
        <v>9.0676634885720198E-2</v>
      </c>
      <c r="S19" s="33">
        <v>0.12422011458499067</v>
      </c>
      <c r="T19" s="32">
        <v>8.8811666344719001E-2</v>
      </c>
      <c r="U19" s="32">
        <v>0.12643250267888939</v>
      </c>
      <c r="V19" s="33">
        <v>0.111269171251327</v>
      </c>
      <c r="W19" s="33">
        <v>7.6821414603764071E-2</v>
      </c>
      <c r="X19" s="32">
        <v>0.113673567854774</v>
      </c>
      <c r="Y19" s="32">
        <f>AVERAGE('Raw Error Scores'!T35:T37)</f>
        <v>0.10144074927154063</v>
      </c>
      <c r="Z19" s="33">
        <v>0.14618605692971701</v>
      </c>
      <c r="AA19" s="33">
        <v>0.13929420074770399</v>
      </c>
    </row>
    <row r="20" spans="1:27" x14ac:dyDescent="0.35">
      <c r="A20" s="16">
        <v>3001</v>
      </c>
      <c r="B20" s="20">
        <v>0.16219</v>
      </c>
      <c r="C20" s="20">
        <v>0.1361</v>
      </c>
      <c r="G20" s="16">
        <v>3001</v>
      </c>
      <c r="H20" s="32">
        <v>0.20041</v>
      </c>
      <c r="I20" s="32">
        <v>0.12164</v>
      </c>
      <c r="J20" s="33">
        <v>0.62382430443206605</v>
      </c>
      <c r="K20" s="33">
        <v>0.12509809440317529</v>
      </c>
      <c r="L20" s="32">
        <v>0.11562560886058799</v>
      </c>
      <c r="M20" s="32">
        <v>0.13197622788374466</v>
      </c>
      <c r="N20" s="33">
        <v>0.13141047080601501</v>
      </c>
      <c r="O20" s="33">
        <v>0.15491782406322299</v>
      </c>
      <c r="P20" s="32">
        <v>9.6200787779156097E-2</v>
      </c>
      <c r="Q20" s="32">
        <v>0.15850502015578227</v>
      </c>
      <c r="R20" s="33">
        <v>7.4967807704843695E-2</v>
      </c>
      <c r="S20" s="33">
        <v>0.10375913964531508</v>
      </c>
      <c r="T20" s="32">
        <v>0.15615273448548</v>
      </c>
      <c r="U20" s="32">
        <v>0.10973400405517085</v>
      </c>
      <c r="V20" s="33">
        <v>0.16361721248789901</v>
      </c>
      <c r="W20" s="33">
        <v>0.10791632668749844</v>
      </c>
      <c r="X20" s="32">
        <v>0.22470731552238901</v>
      </c>
      <c r="Y20" s="32">
        <f>AVERAGE('Raw Error Scores'!U35:U37)</f>
        <v>0.15193008196949601</v>
      </c>
      <c r="Z20" s="33">
        <v>0.240438812407999</v>
      </c>
      <c r="AA20" s="33">
        <v>0.14738853329814497</v>
      </c>
    </row>
    <row r="21" spans="1:27" ht="15.5" x14ac:dyDescent="0.35">
      <c r="A21" s="16">
        <v>3002</v>
      </c>
      <c r="B21" s="20">
        <v>7.2055999999999995E-2</v>
      </c>
      <c r="C21" s="20">
        <v>7.2163000000000005E-2</v>
      </c>
      <c r="E21" s="2"/>
      <c r="G21" s="16">
        <v>3002</v>
      </c>
      <c r="H21" s="32">
        <v>0.11609999999999999</v>
      </c>
      <c r="I21" s="32">
        <v>9.9169999999999994E-2</v>
      </c>
      <c r="J21" s="33">
        <v>7.1840752022563695E-2</v>
      </c>
      <c r="K21" s="33">
        <v>5.8476521892735223E-2</v>
      </c>
      <c r="L21" s="32">
        <v>8.6780793791673402E-2</v>
      </c>
      <c r="M21" s="32">
        <v>5.9376046848131726E-2</v>
      </c>
      <c r="N21" s="33">
        <v>6.46431935291127E-2</v>
      </c>
      <c r="O21" s="33">
        <v>5.8224162601446361E-2</v>
      </c>
      <c r="P21" s="32">
        <v>9.6616184167545194E-2</v>
      </c>
      <c r="Q21" s="32">
        <v>5.9853944721498208E-2</v>
      </c>
      <c r="R21" s="33">
        <v>0.10156954553682999</v>
      </c>
      <c r="S21" s="33">
        <v>5.9043152297023171E-2</v>
      </c>
      <c r="T21" s="32">
        <v>7.0950724205891103E-2</v>
      </c>
      <c r="U21" s="32">
        <v>7.8841366888655631E-2</v>
      </c>
      <c r="V21" s="33">
        <v>0.101603296267485</v>
      </c>
      <c r="W21" s="33">
        <v>8.0121912938279569E-2</v>
      </c>
      <c r="X21" s="32">
        <v>5.9948544878287602E-2</v>
      </c>
      <c r="Y21" s="32">
        <f>AVERAGE('Raw Error Scores'!V35:V37)</f>
        <v>6.891723801562423E-2</v>
      </c>
      <c r="Z21" s="33">
        <v>7.9408546139524E-2</v>
      </c>
      <c r="AA21" s="33">
        <v>5.6334882494195333E-2</v>
      </c>
    </row>
    <row r="22" spans="1:27" x14ac:dyDescent="0.35">
      <c r="A22" s="16">
        <v>3003</v>
      </c>
      <c r="B22" s="20">
        <v>0.10063</v>
      </c>
      <c r="C22" s="20">
        <v>0.13575000000000001</v>
      </c>
      <c r="G22" s="16">
        <v>3003</v>
      </c>
      <c r="H22" s="32">
        <v>0.13780000000000001</v>
      </c>
      <c r="I22" s="32">
        <v>7.9646999999999996E-2</v>
      </c>
      <c r="J22" s="33">
        <v>0.15833249027060001</v>
      </c>
      <c r="K22" s="33">
        <v>0.11055423236949412</v>
      </c>
      <c r="L22" s="32">
        <v>0.123632667589857</v>
      </c>
      <c r="M22" s="32">
        <v>8.0951726440261329E-2</v>
      </c>
      <c r="N22" s="33">
        <v>0.10845249698957</v>
      </c>
      <c r="O22" s="33">
        <v>0.10230061472924906</v>
      </c>
      <c r="P22" s="32">
        <v>8.8146397541678703E-2</v>
      </c>
      <c r="Q22" s="32">
        <v>9.1988384219459041E-2</v>
      </c>
      <c r="R22" s="33">
        <v>0.20896289143500901</v>
      </c>
      <c r="S22" s="33">
        <v>0.1449867212851825</v>
      </c>
      <c r="T22" s="32">
        <v>0.15633351497599099</v>
      </c>
      <c r="U22" s="32">
        <v>0.14269561009756618</v>
      </c>
      <c r="V22" s="33">
        <v>0.11326037418528299</v>
      </c>
      <c r="W22" s="33">
        <v>0.11432947441843361</v>
      </c>
      <c r="X22" s="32">
        <v>9.8046620006251001E-2</v>
      </c>
      <c r="Y22" s="32">
        <f>AVERAGE('Raw Error Scores'!W35:W37)</f>
        <v>9.1588892499885832E-2</v>
      </c>
      <c r="Z22" s="33">
        <v>0.116373580542967</v>
      </c>
      <c r="AA22" s="33">
        <v>0.13541571864464833</v>
      </c>
    </row>
    <row r="23" spans="1:27" x14ac:dyDescent="0.35">
      <c r="A23" s="16">
        <v>3004</v>
      </c>
      <c r="B23" s="20">
        <v>0.11995</v>
      </c>
      <c r="C23" s="20">
        <v>0.11531</v>
      </c>
      <c r="G23" s="16">
        <v>3004</v>
      </c>
      <c r="H23" s="32">
        <v>0.12795000000000001</v>
      </c>
      <c r="I23" s="32">
        <v>8.7329000000000004E-2</v>
      </c>
      <c r="J23" s="33">
        <v>0.117191225369407</v>
      </c>
      <c r="K23" s="33">
        <v>0.10837348394742789</v>
      </c>
      <c r="L23" s="32">
        <v>0.126537601732398</v>
      </c>
      <c r="M23" s="32">
        <v>0.13249841936740733</v>
      </c>
      <c r="N23" s="33">
        <v>0.111984682102864</v>
      </c>
      <c r="O23" s="33">
        <v>0.12646506545365532</v>
      </c>
      <c r="P23" s="32">
        <v>0.15938051177263801</v>
      </c>
      <c r="Q23" s="32">
        <v>0.13064741519243367</v>
      </c>
      <c r="R23" s="33">
        <v>0.131094248944263</v>
      </c>
      <c r="S23" s="33">
        <v>0.11011596012222739</v>
      </c>
      <c r="T23" s="32">
        <v>0.14291882826574101</v>
      </c>
      <c r="U23" s="32">
        <v>8.2390138970918028E-2</v>
      </c>
      <c r="V23" s="33">
        <v>0.104441116855765</v>
      </c>
      <c r="W23" s="33">
        <v>0.11748595853626366</v>
      </c>
      <c r="X23" s="32">
        <v>0.15757313157962299</v>
      </c>
      <c r="Y23" s="32">
        <f>AVERAGE('Raw Error Scores'!X35:X37)</f>
        <v>0.12300978072283299</v>
      </c>
      <c r="Z23" s="33">
        <v>0.14309659057763499</v>
      </c>
      <c r="AA23" s="33">
        <v>0.10935471300552269</v>
      </c>
    </row>
    <row r="24" spans="1:27" x14ac:dyDescent="0.35">
      <c r="A24" s="16">
        <v>3006</v>
      </c>
      <c r="B24" s="20">
        <v>9.3253000000000003E-2</v>
      </c>
      <c r="C24" s="20">
        <v>8.9402999999999996E-2</v>
      </c>
      <c r="G24" s="16">
        <v>3006</v>
      </c>
      <c r="H24" s="32">
        <v>9.7716999999999998E-2</v>
      </c>
      <c r="I24" s="32">
        <v>9.4134999999999996E-2</v>
      </c>
      <c r="J24" s="33">
        <v>7.6118851896998699E-2</v>
      </c>
      <c r="K24" s="33">
        <v>9.3284152180518429E-2</v>
      </c>
      <c r="L24" s="32">
        <v>9.0136791157448395E-2</v>
      </c>
      <c r="M24" s="32">
        <v>9.8099392776251779E-2</v>
      </c>
      <c r="N24" s="33">
        <v>0.11291232134196701</v>
      </c>
      <c r="O24" s="33">
        <v>7.0628134764145201E-2</v>
      </c>
      <c r="P24" s="32">
        <v>0.12503163024170599</v>
      </c>
      <c r="Q24" s="32">
        <v>9.8231566249284752E-2</v>
      </c>
      <c r="R24" s="33">
        <v>0.150744873154919</v>
      </c>
      <c r="S24" s="33">
        <v>7.9431955167939494E-2</v>
      </c>
      <c r="T24" s="32">
        <v>9.5674525019611503E-2</v>
      </c>
      <c r="U24" s="32">
        <v>8.0962669936384263E-2</v>
      </c>
      <c r="V24" s="33">
        <v>7.9492705643010295E-2</v>
      </c>
      <c r="W24" s="33">
        <v>8.9093620561212006E-2</v>
      </c>
      <c r="X24" s="32">
        <v>0.10069733260251799</v>
      </c>
      <c r="Y24" s="32">
        <f>AVERAGE('Raw Error Scores'!Y35:Y37)</f>
        <v>9.0355637563705918E-2</v>
      </c>
      <c r="Z24" s="33">
        <v>8.8233990019119704E-2</v>
      </c>
      <c r="AA24" s="33">
        <v>8.4563424450449995E-2</v>
      </c>
    </row>
    <row r="25" spans="1:27" x14ac:dyDescent="0.35">
      <c r="A25" s="16">
        <v>3007</v>
      </c>
      <c r="B25" s="20">
        <v>0.13578000000000001</v>
      </c>
      <c r="C25" s="20">
        <v>0.15368000000000001</v>
      </c>
      <c r="G25" s="16">
        <v>3007</v>
      </c>
      <c r="H25" s="32">
        <v>0.18554999999999999</v>
      </c>
      <c r="I25" s="32">
        <v>0.14557999999999999</v>
      </c>
      <c r="J25" s="33">
        <v>0.14887795102824899</v>
      </c>
      <c r="K25" s="33">
        <v>0.11674445187078651</v>
      </c>
      <c r="L25" s="32">
        <v>0.13555448087723199</v>
      </c>
      <c r="M25" s="32">
        <v>0.14080865738129747</v>
      </c>
      <c r="N25" s="33">
        <v>0.13095824479997201</v>
      </c>
      <c r="O25" s="33">
        <v>0.11928167790486989</v>
      </c>
      <c r="P25" s="32">
        <v>0.101244663116923</v>
      </c>
      <c r="Q25" s="32">
        <v>0.14870128011505579</v>
      </c>
      <c r="R25" s="33">
        <v>0.209354047142459</v>
      </c>
      <c r="S25" s="33">
        <v>0.13155022957143872</v>
      </c>
      <c r="T25" s="32">
        <v>0.185317836992337</v>
      </c>
      <c r="U25" s="32">
        <v>0.14930430167064634</v>
      </c>
      <c r="V25" s="33">
        <v>0.140231873594831</v>
      </c>
      <c r="W25" s="33">
        <v>0.14691317206485865</v>
      </c>
      <c r="X25" s="32">
        <v>0.138405292580181</v>
      </c>
      <c r="Y25" s="32">
        <f>AVERAGE('Raw Error Scores'!Z35:Z37)</f>
        <v>0.13783137616206334</v>
      </c>
      <c r="Z25" s="33">
        <v>0.17969510487569901</v>
      </c>
      <c r="AA25" s="33">
        <v>0.17456663144617135</v>
      </c>
    </row>
    <row r="26" spans="1:27" x14ac:dyDescent="0.35">
      <c r="A26" s="16">
        <v>3008</v>
      </c>
      <c r="B26" s="20">
        <v>0.12948000000000001</v>
      </c>
      <c r="C26" s="20">
        <v>0.18479999999999999</v>
      </c>
      <c r="E26" s="11"/>
      <c r="G26" s="16">
        <v>3008</v>
      </c>
      <c r="H26" s="32">
        <v>0.17235</v>
      </c>
      <c r="I26" s="32">
        <v>0.13288</v>
      </c>
      <c r="J26" s="33">
        <v>0.121472737758125</v>
      </c>
      <c r="K26" s="33">
        <v>0.10152026900551873</v>
      </c>
      <c r="L26" s="32">
        <v>0.127052541136806</v>
      </c>
      <c r="M26" s="32">
        <v>0.116502653490809</v>
      </c>
      <c r="N26" s="33">
        <v>0.10465615465146599</v>
      </c>
      <c r="O26" s="33">
        <v>0.11284738423894798</v>
      </c>
      <c r="P26" s="32">
        <v>0.15117421648827001</v>
      </c>
      <c r="Q26" s="32">
        <v>0.17385680175882701</v>
      </c>
      <c r="R26" s="33">
        <v>0.12784660422385799</v>
      </c>
      <c r="S26" s="33">
        <v>9.0351019921426343E-2</v>
      </c>
      <c r="T26" s="32">
        <v>0.18195878920203601</v>
      </c>
      <c r="U26" s="32">
        <v>0.13958659415465724</v>
      </c>
      <c r="V26" s="33">
        <v>0.124119843045741</v>
      </c>
      <c r="W26" s="33">
        <v>0.16947274452018901</v>
      </c>
      <c r="X26" s="32">
        <v>0.61428454022664802</v>
      </c>
      <c r="Y26" s="32">
        <f>AVERAGE('Raw Error Scores'!AA35:AA37)</f>
        <v>0.1984442308000447</v>
      </c>
      <c r="Z26" s="33">
        <v>0.27787930696461999</v>
      </c>
      <c r="AA26" s="33">
        <v>0.19211074782583568</v>
      </c>
    </row>
    <row r="27" spans="1:27" x14ac:dyDescent="0.35">
      <c r="A27" s="16">
        <v>3009</v>
      </c>
      <c r="B27" s="20">
        <v>0.11047999999999999</v>
      </c>
      <c r="C27" s="20">
        <v>0.13314999999999999</v>
      </c>
      <c r="G27" s="16">
        <v>3009</v>
      </c>
      <c r="H27" s="32">
        <v>0.11922000000000001</v>
      </c>
      <c r="I27" s="32">
        <v>9.0124999999999997E-2</v>
      </c>
      <c r="J27" s="33">
        <v>8.5138547513415305E-2</v>
      </c>
      <c r="K27" s="33">
        <v>0.13282310883581733</v>
      </c>
      <c r="L27" s="32">
        <v>8.8576429031580403E-2</v>
      </c>
      <c r="M27" s="32">
        <v>0.10426975917508496</v>
      </c>
      <c r="N27" s="33">
        <v>0.122027484193709</v>
      </c>
      <c r="O27" s="33">
        <v>0.1134612959847322</v>
      </c>
      <c r="P27" s="32">
        <v>0.16360989675842899</v>
      </c>
      <c r="Q27" s="32">
        <v>0.10298735243617287</v>
      </c>
      <c r="R27" s="33">
        <v>9.87850189933666E-2</v>
      </c>
      <c r="S27" s="33">
        <v>0.11291990995572261</v>
      </c>
      <c r="T27" s="32">
        <v>0.119596446162784</v>
      </c>
      <c r="U27" s="32">
        <v>0.15013738230514734</v>
      </c>
      <c r="V27" s="33">
        <v>0.17441308606065101</v>
      </c>
      <c r="W27" s="33">
        <v>0.14275527422291634</v>
      </c>
      <c r="X27" s="32">
        <v>0.10775338663742701</v>
      </c>
      <c r="Y27" s="32">
        <f>AVERAGE('Raw Error Scores'!AB35:AB37)</f>
        <v>0.15118399860758369</v>
      </c>
      <c r="Z27" s="33">
        <v>9.9067671162965401E-2</v>
      </c>
      <c r="AA27" s="33">
        <v>0.13081351211760334</v>
      </c>
    </row>
    <row r="28" spans="1:27" x14ac:dyDescent="0.35">
      <c r="A28" s="16">
        <v>3010</v>
      </c>
      <c r="B28" s="20">
        <v>0.18373999999999999</v>
      </c>
      <c r="C28" s="20">
        <v>0.16502</v>
      </c>
      <c r="G28" s="16">
        <v>3010</v>
      </c>
      <c r="H28" s="32">
        <v>0.22442000000000001</v>
      </c>
      <c r="I28" s="32">
        <v>0.21016000000000001</v>
      </c>
      <c r="J28" s="33">
        <v>0.154810478188906</v>
      </c>
      <c r="K28" s="33">
        <v>0.15177924672781801</v>
      </c>
      <c r="L28" s="32">
        <v>0.18934176975831499</v>
      </c>
      <c r="M28" s="32">
        <v>0.17467385667859267</v>
      </c>
      <c r="N28" s="33">
        <v>0.19179274503056001</v>
      </c>
      <c r="O28" s="33">
        <v>0.22831122151655101</v>
      </c>
      <c r="P28" s="32">
        <v>0.17656689810863499</v>
      </c>
      <c r="Q28" s="32">
        <v>0.147728199391405</v>
      </c>
      <c r="R28" s="33">
        <v>0.23297713451831101</v>
      </c>
      <c r="S28" s="33">
        <v>0.22532012822874056</v>
      </c>
      <c r="T28" s="32">
        <v>0.11364567330417601</v>
      </c>
      <c r="U28" s="32">
        <v>0.150776786878599</v>
      </c>
      <c r="V28" s="33">
        <v>0.22562471485244601</v>
      </c>
      <c r="W28" s="33">
        <v>0.14494374193954099</v>
      </c>
      <c r="X28" s="32">
        <v>0.16015398740848599</v>
      </c>
      <c r="Y28" s="32">
        <f>AVERAGE('Raw Error Scores'!AC35:AC37)</f>
        <v>0.12544488498925613</v>
      </c>
      <c r="Z28" s="33">
        <v>0.14258311169080001</v>
      </c>
      <c r="AA28" s="33">
        <v>0.16200230490055667</v>
      </c>
    </row>
    <row r="29" spans="1:27" x14ac:dyDescent="0.35">
      <c r="A29" s="16">
        <v>3011</v>
      </c>
      <c r="B29" s="20">
        <v>8.9871999999999994E-2</v>
      </c>
      <c r="C29" s="20">
        <v>8.5639000000000007E-2</v>
      </c>
      <c r="G29" s="16">
        <v>3011</v>
      </c>
      <c r="H29" s="32">
        <v>0.10242999999999999</v>
      </c>
      <c r="I29" s="32">
        <v>8.1281999999999993E-2</v>
      </c>
      <c r="J29" s="33">
        <v>7.8812422085453901E-2</v>
      </c>
      <c r="K29" s="33">
        <v>8.0581954323835525E-2</v>
      </c>
      <c r="L29" s="32">
        <v>0.11171322019346799</v>
      </c>
      <c r="M29" s="32">
        <v>8.6382027894597924E-2</v>
      </c>
      <c r="N29" s="33">
        <v>0.117812577406521</v>
      </c>
      <c r="O29" s="33">
        <v>9.0392122502353026E-2</v>
      </c>
      <c r="P29" s="32">
        <v>0.12180504417983</v>
      </c>
      <c r="Q29" s="32">
        <v>8.2985105364220005E-2</v>
      </c>
      <c r="R29" s="33">
        <v>0.10154790407742301</v>
      </c>
      <c r="S29" s="33">
        <v>8.9109689367461151E-2</v>
      </c>
      <c r="T29" s="32">
        <v>0.11578064350440601</v>
      </c>
      <c r="U29" s="32">
        <v>7.2626496412158334E-2</v>
      </c>
      <c r="V29" s="33">
        <v>7.0103975865369206E-2</v>
      </c>
      <c r="W29" s="33">
        <v>8.5487153644005401E-2</v>
      </c>
      <c r="X29" s="32">
        <v>9.6784438761712902E-2</v>
      </c>
      <c r="Y29" s="32">
        <f>AVERAGE('Raw Error Scores'!AD35:AD37)</f>
        <v>7.7228106298930899E-2</v>
      </c>
      <c r="Z29" s="33">
        <v>0.109079462020405</v>
      </c>
      <c r="AA29" s="33">
        <v>8.204098124928573E-2</v>
      </c>
    </row>
    <row r="30" spans="1:27" x14ac:dyDescent="0.35">
      <c r="A30" s="16">
        <v>3012</v>
      </c>
      <c r="B30" s="20">
        <v>0.14407</v>
      </c>
      <c r="C30" s="20">
        <v>0.17147999999999999</v>
      </c>
      <c r="G30" s="16">
        <v>3012</v>
      </c>
      <c r="H30" s="32">
        <v>0.16353000000000001</v>
      </c>
      <c r="I30" s="32">
        <v>0.11335000000000001</v>
      </c>
      <c r="J30" s="33">
        <v>0.20615420425770301</v>
      </c>
      <c r="K30" s="33">
        <v>0.12996617489935777</v>
      </c>
      <c r="L30" s="32">
        <v>9.4027622838787697E-2</v>
      </c>
      <c r="M30" s="32">
        <v>0.11378859163123382</v>
      </c>
      <c r="N30" s="33">
        <v>0.19996867316726499</v>
      </c>
      <c r="O30" s="33">
        <v>0.16034731724885334</v>
      </c>
      <c r="P30" s="32">
        <v>0.16026542506734001</v>
      </c>
      <c r="Q30" s="32">
        <v>0.16836343632225767</v>
      </c>
      <c r="R30" s="33">
        <v>0.18800689654623401</v>
      </c>
      <c r="S30" s="33">
        <v>0.18681557987974731</v>
      </c>
      <c r="T30" s="32">
        <v>0.13936783965904201</v>
      </c>
      <c r="U30" s="32">
        <v>0.16719641926306264</v>
      </c>
      <c r="V30" s="33">
        <v>0.152969931459988</v>
      </c>
      <c r="W30" s="33">
        <v>0.17740876803869599</v>
      </c>
      <c r="X30" s="32">
        <v>0.135078154743527</v>
      </c>
      <c r="Y30" s="32">
        <f>AVERAGE('Raw Error Scores'!AE35:AE37)</f>
        <v>0.17887451049778</v>
      </c>
      <c r="Z30" s="33">
        <v>0.16692134979495299</v>
      </c>
      <c r="AA30" s="33">
        <v>0.17211732013897299</v>
      </c>
    </row>
    <row r="31" spans="1:27" x14ac:dyDescent="0.35">
      <c r="A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4" spans="16:16" ht="15.5" x14ac:dyDescent="0.35">
      <c r="P34" s="10"/>
    </row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217BA-347F-4CFD-8042-5402B1037160}">
  <dimension ref="A1:D35"/>
  <sheetViews>
    <sheetView tabSelected="1" workbookViewId="0">
      <selection activeCell="E16" sqref="E16"/>
    </sheetView>
  </sheetViews>
  <sheetFormatPr defaultRowHeight="14.5" x14ac:dyDescent="0.35"/>
  <cols>
    <col min="1" max="1" width="11.7265625" style="16" customWidth="1"/>
    <col min="2" max="2" width="19.1796875" customWidth="1"/>
    <col min="3" max="3" width="19.7265625" customWidth="1"/>
    <col min="5" max="5" width="26.453125" bestFit="1" customWidth="1"/>
  </cols>
  <sheetData>
    <row r="1" spans="1:4" x14ac:dyDescent="0.35">
      <c r="A1" s="17" t="s">
        <v>34</v>
      </c>
      <c r="B1" s="18"/>
      <c r="C1" s="18"/>
      <c r="D1" s="14"/>
    </row>
    <row r="2" spans="1:4" x14ac:dyDescent="0.35">
      <c r="A2" s="17" t="s">
        <v>35</v>
      </c>
      <c r="B2" s="18"/>
      <c r="C2" s="18"/>
      <c r="D2" s="14"/>
    </row>
    <row r="3" spans="1:4" x14ac:dyDescent="0.35">
      <c r="A3" s="34" t="s">
        <v>36</v>
      </c>
      <c r="B3" s="18"/>
      <c r="C3" s="18"/>
      <c r="D3" s="14"/>
    </row>
    <row r="4" spans="1:4" x14ac:dyDescent="0.35">
      <c r="A4" s="25" t="s">
        <v>0</v>
      </c>
      <c r="B4" s="25" t="s">
        <v>37</v>
      </c>
      <c r="C4" s="25" t="s">
        <v>38</v>
      </c>
    </row>
    <row r="5" spans="1:4" x14ac:dyDescent="0.35">
      <c r="A5" s="16">
        <v>1001</v>
      </c>
      <c r="B5" s="40">
        <v>0.16381999999999999</v>
      </c>
      <c r="C5" s="16">
        <v>0.15043999999999999</v>
      </c>
    </row>
    <row r="6" spans="1:4" x14ac:dyDescent="0.35">
      <c r="A6" s="16">
        <v>1002</v>
      </c>
      <c r="B6" s="16">
        <v>0.12205000000000001</v>
      </c>
      <c r="C6" s="16">
        <v>0.14691000000000001</v>
      </c>
    </row>
    <row r="7" spans="1:4" x14ac:dyDescent="0.35">
      <c r="A7" s="16">
        <v>1003</v>
      </c>
      <c r="B7" s="16">
        <v>0.10931</v>
      </c>
      <c r="C7" s="16">
        <v>0.125</v>
      </c>
    </row>
    <row r="8" spans="1:4" x14ac:dyDescent="0.35">
      <c r="A8" s="16">
        <v>1004</v>
      </c>
      <c r="B8" s="16">
        <v>0.10918</v>
      </c>
      <c r="C8" s="16">
        <v>0.14165</v>
      </c>
    </row>
    <row r="9" spans="1:4" x14ac:dyDescent="0.35">
      <c r="A9" s="16">
        <v>1005</v>
      </c>
      <c r="B9" s="16">
        <v>0.17904</v>
      </c>
      <c r="C9" s="16">
        <v>0.17418</v>
      </c>
    </row>
    <row r="10" spans="1:4" x14ac:dyDescent="0.35">
      <c r="A10" s="16">
        <v>1006</v>
      </c>
      <c r="B10" s="16">
        <v>0.12441000000000001</v>
      </c>
      <c r="C10" s="16">
        <v>0.11507000000000001</v>
      </c>
    </row>
    <row r="11" spans="1:4" x14ac:dyDescent="0.35">
      <c r="A11" s="16">
        <v>1009</v>
      </c>
      <c r="B11" s="16">
        <v>0.16417999999999999</v>
      </c>
      <c r="C11" s="16">
        <v>0.13674</v>
      </c>
    </row>
    <row r="12" spans="1:4" x14ac:dyDescent="0.35">
      <c r="A12" s="16">
        <v>2001</v>
      </c>
      <c r="B12" s="16">
        <v>0.15611</v>
      </c>
      <c r="C12" s="16">
        <v>0.15354999999999999</v>
      </c>
    </row>
    <row r="13" spans="1:4" x14ac:dyDescent="0.35">
      <c r="A13" s="16">
        <v>2002</v>
      </c>
      <c r="B13" s="16">
        <v>8.8491E-2</v>
      </c>
      <c r="C13" s="16">
        <v>0.10979999999999999</v>
      </c>
    </row>
    <row r="14" spans="1:4" x14ac:dyDescent="0.35">
      <c r="A14" s="16">
        <v>2004</v>
      </c>
      <c r="B14" s="16">
        <v>0.18532999999999999</v>
      </c>
      <c r="C14" s="16">
        <v>0.16014</v>
      </c>
    </row>
    <row r="15" spans="1:4" x14ac:dyDescent="0.35">
      <c r="A15" s="16">
        <v>2005</v>
      </c>
      <c r="B15" s="16">
        <v>0.18495</v>
      </c>
      <c r="C15" s="16">
        <v>0.17931</v>
      </c>
    </row>
    <row r="16" spans="1:4" x14ac:dyDescent="0.35">
      <c r="A16" s="16">
        <v>2006</v>
      </c>
      <c r="B16" s="16">
        <v>0.12064</v>
      </c>
      <c r="C16" s="16">
        <v>0.12399</v>
      </c>
    </row>
    <row r="17" spans="1:3" x14ac:dyDescent="0.35">
      <c r="A17" s="16">
        <v>2007</v>
      </c>
      <c r="B17" s="16">
        <v>0.15223</v>
      </c>
      <c r="C17" s="16">
        <v>0.15392</v>
      </c>
    </row>
    <row r="18" spans="1:3" x14ac:dyDescent="0.35">
      <c r="A18" s="16">
        <v>2008</v>
      </c>
      <c r="B18" s="16">
        <v>0.28498000000000001</v>
      </c>
      <c r="C18" s="16">
        <v>0.34844000000000003</v>
      </c>
    </row>
    <row r="19" spans="1:3" x14ac:dyDescent="0.35">
      <c r="A19" s="16">
        <v>2009</v>
      </c>
      <c r="B19" s="16">
        <v>0.13852</v>
      </c>
      <c r="C19" s="16">
        <v>0.19771</v>
      </c>
    </row>
    <row r="20" spans="1:3" x14ac:dyDescent="0.35">
      <c r="A20" s="16">
        <v>2010</v>
      </c>
      <c r="B20" s="16">
        <v>0.17299999999999999</v>
      </c>
      <c r="C20" s="16">
        <v>0.15795000000000001</v>
      </c>
    </row>
    <row r="21" spans="1:3" x14ac:dyDescent="0.35">
      <c r="A21" s="16">
        <v>2011</v>
      </c>
      <c r="B21" s="16">
        <v>0.10543</v>
      </c>
      <c r="C21" s="16">
        <v>0.12021</v>
      </c>
    </row>
    <row r="22" spans="1:3" x14ac:dyDescent="0.35">
      <c r="A22" s="16">
        <v>2012</v>
      </c>
      <c r="B22" s="16">
        <v>0.12207999999999999</v>
      </c>
      <c r="C22" s="16">
        <v>0.11276</v>
      </c>
    </row>
    <row r="23" spans="1:3" x14ac:dyDescent="0.35">
      <c r="A23" s="16">
        <v>3001</v>
      </c>
      <c r="B23" s="16">
        <v>0.16219</v>
      </c>
      <c r="C23" s="16">
        <v>0.1361</v>
      </c>
    </row>
    <row r="24" spans="1:3" x14ac:dyDescent="0.35">
      <c r="A24" s="16">
        <v>3002</v>
      </c>
      <c r="B24" s="16">
        <v>7.2055999999999995E-2</v>
      </c>
      <c r="C24" s="16">
        <v>7.2163000000000005E-2</v>
      </c>
    </row>
    <row r="25" spans="1:3" x14ac:dyDescent="0.35">
      <c r="A25" s="16">
        <v>3003</v>
      </c>
      <c r="B25" s="16">
        <v>0.10063</v>
      </c>
      <c r="C25" s="16">
        <v>0.13575000000000001</v>
      </c>
    </row>
    <row r="26" spans="1:3" x14ac:dyDescent="0.35">
      <c r="A26" s="16">
        <v>3004</v>
      </c>
      <c r="B26" s="16">
        <v>0.11995</v>
      </c>
      <c r="C26" s="16">
        <v>0.11531</v>
      </c>
    </row>
    <row r="27" spans="1:3" x14ac:dyDescent="0.35">
      <c r="A27" s="16">
        <v>3006</v>
      </c>
      <c r="B27" s="16">
        <v>9.3253000000000003E-2</v>
      </c>
      <c r="C27" s="16">
        <v>8.9402999999999996E-2</v>
      </c>
    </row>
    <row r="28" spans="1:3" x14ac:dyDescent="0.35">
      <c r="A28" s="16">
        <v>3007</v>
      </c>
      <c r="B28" s="16">
        <v>0.13578000000000001</v>
      </c>
      <c r="C28" s="16">
        <v>0.15368000000000001</v>
      </c>
    </row>
    <row r="29" spans="1:3" x14ac:dyDescent="0.35">
      <c r="A29" s="16">
        <v>3008</v>
      </c>
      <c r="B29" s="16">
        <v>0.12948000000000001</v>
      </c>
      <c r="C29" s="16">
        <v>0.18479999999999999</v>
      </c>
    </row>
    <row r="30" spans="1:3" x14ac:dyDescent="0.35">
      <c r="A30" s="16">
        <v>3009</v>
      </c>
      <c r="B30" s="16">
        <v>0.11047999999999999</v>
      </c>
      <c r="C30" s="16">
        <v>0.13314999999999999</v>
      </c>
    </row>
    <row r="31" spans="1:3" x14ac:dyDescent="0.35">
      <c r="A31" s="16">
        <v>3010</v>
      </c>
      <c r="B31" s="16">
        <v>0.18373999999999999</v>
      </c>
      <c r="C31" s="16">
        <v>0.16502</v>
      </c>
    </row>
    <row r="32" spans="1:3" x14ac:dyDescent="0.35">
      <c r="A32" s="16">
        <v>3011</v>
      </c>
      <c r="B32" s="16">
        <v>8.9871999999999994E-2</v>
      </c>
      <c r="C32" s="16">
        <v>8.5639000000000007E-2</v>
      </c>
    </row>
    <row r="33" spans="1:3" x14ac:dyDescent="0.35">
      <c r="A33" s="16">
        <v>3012</v>
      </c>
      <c r="B33" s="16">
        <v>0.14407</v>
      </c>
      <c r="C33" s="16">
        <v>0.17147999999999999</v>
      </c>
    </row>
    <row r="35" spans="1:3" x14ac:dyDescent="0.35">
      <c r="A35" s="43" t="s">
        <v>39</v>
      </c>
      <c r="B35" s="19">
        <f>AVERAGE(B5:B33)</f>
        <v>0.13880179310344828</v>
      </c>
      <c r="C35" s="19">
        <f>AVERAGE(C5:C33)</f>
        <v>0.14656086206896551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25EC8-B562-4EBD-94BD-6317F9BE9B73}">
  <dimension ref="A1:P30"/>
  <sheetViews>
    <sheetView workbookViewId="0">
      <selection activeCell="P3" sqref="P3"/>
    </sheetView>
  </sheetViews>
  <sheetFormatPr defaultRowHeight="14.5" x14ac:dyDescent="0.35"/>
  <cols>
    <col min="1" max="1" width="10.453125" style="16" customWidth="1"/>
    <col min="2" max="6" width="8.7265625" style="19"/>
    <col min="7" max="7" width="15.54296875" style="19" customWidth="1"/>
    <col min="8" max="8" width="14" style="19" customWidth="1"/>
    <col min="9" max="9" width="19.7265625" customWidth="1"/>
    <col min="10" max="14" width="8.7265625" style="19"/>
    <col min="15" max="15" width="17.1796875" style="19" customWidth="1"/>
    <col min="16" max="16" width="13.54296875" customWidth="1"/>
  </cols>
  <sheetData>
    <row r="1" spans="1:16" x14ac:dyDescent="0.35">
      <c r="A1" s="35" t="s">
        <v>0</v>
      </c>
      <c r="B1" s="13" t="s">
        <v>40</v>
      </c>
      <c r="C1" s="12" t="s">
        <v>41</v>
      </c>
      <c r="D1" s="13" t="s">
        <v>42</v>
      </c>
      <c r="E1" s="12" t="s">
        <v>43</v>
      </c>
      <c r="F1" s="13" t="s">
        <v>44</v>
      </c>
      <c r="G1" s="36" t="s">
        <v>45</v>
      </c>
      <c r="H1" s="41" t="s">
        <v>39</v>
      </c>
      <c r="J1" s="12" t="s">
        <v>46</v>
      </c>
      <c r="K1" s="13" t="s">
        <v>47</v>
      </c>
      <c r="L1" s="12" t="s">
        <v>48</v>
      </c>
      <c r="M1" s="13" t="s">
        <v>49</v>
      </c>
      <c r="N1" s="12" t="s">
        <v>50</v>
      </c>
      <c r="O1" s="36" t="s">
        <v>51</v>
      </c>
      <c r="P1" s="42" t="s">
        <v>39</v>
      </c>
    </row>
    <row r="2" spans="1:16" x14ac:dyDescent="0.35">
      <c r="A2" s="16">
        <v>1001</v>
      </c>
      <c r="B2" s="38">
        <v>0.131733040560991</v>
      </c>
      <c r="C2" s="39">
        <v>0.116603981398977</v>
      </c>
      <c r="D2" s="38">
        <v>9.0370551941318794E-2</v>
      </c>
      <c r="E2" s="39">
        <v>0.13229508689650399</v>
      </c>
      <c r="F2" s="38">
        <v>0.104345470178921</v>
      </c>
      <c r="G2" s="16">
        <f>AVERAGE(B2:F2)</f>
        <v>0.11506962619534236</v>
      </c>
      <c r="H2" s="16">
        <f>AVERAGE(G2:G30)</f>
        <v>0.15287575739941658</v>
      </c>
      <c r="J2" s="6">
        <v>0.15963655556766701</v>
      </c>
      <c r="K2" s="3">
        <v>0.16085642022081001</v>
      </c>
      <c r="L2" s="6">
        <v>0.26858141491098803</v>
      </c>
      <c r="M2" s="3">
        <v>0.15802816251287999</v>
      </c>
      <c r="N2" s="6">
        <v>0.15962205798198101</v>
      </c>
      <c r="O2" s="19">
        <f>AVERAGE(J2:N2)</f>
        <v>0.18134492223886522</v>
      </c>
      <c r="P2">
        <f>AVERAGE(O2:O30)</f>
        <v>0.16336941151681619</v>
      </c>
    </row>
    <row r="3" spans="1:16" x14ac:dyDescent="0.35">
      <c r="A3" s="16">
        <v>1002</v>
      </c>
      <c r="B3" s="38">
        <v>0.13504828624194201</v>
      </c>
      <c r="C3" s="39">
        <v>0.118186167129289</v>
      </c>
      <c r="D3" s="38">
        <v>0.180238604236821</v>
      </c>
      <c r="E3" s="39">
        <v>0.14626102621877901</v>
      </c>
      <c r="F3" s="38">
        <v>0.171716947571805</v>
      </c>
      <c r="G3" s="16">
        <f t="shared" ref="G3:G30" si="0">AVERAGE(B3:F3)</f>
        <v>0.1502902062797272</v>
      </c>
      <c r="H3" s="16"/>
      <c r="J3" s="6">
        <v>0.28593262071929698</v>
      </c>
      <c r="K3" s="3">
        <v>0.18884495401208501</v>
      </c>
      <c r="L3" s="6">
        <v>0.16604690317107301</v>
      </c>
      <c r="M3" s="3">
        <v>0.11855809602881601</v>
      </c>
      <c r="N3" s="6">
        <v>9.06790929112294E-2</v>
      </c>
      <c r="O3" s="19">
        <f>AVERAGE(J3:N3)</f>
        <v>0.17001233336850008</v>
      </c>
    </row>
    <row r="4" spans="1:16" x14ac:dyDescent="0.35">
      <c r="A4" s="16">
        <v>1003</v>
      </c>
      <c r="B4" s="38">
        <v>0.12339934677159201</v>
      </c>
      <c r="C4" s="39">
        <v>0.131052642127723</v>
      </c>
      <c r="D4" s="38">
        <v>7.6708270150697894E-2</v>
      </c>
      <c r="E4" s="39">
        <v>9.6860685107247296E-2</v>
      </c>
      <c r="F4" s="38">
        <v>0.13342215984773501</v>
      </c>
      <c r="G4" s="16">
        <f t="shared" si="0"/>
        <v>0.11228862080099904</v>
      </c>
      <c r="H4" s="16"/>
      <c r="J4" s="6">
        <v>0.14854035293089499</v>
      </c>
      <c r="K4" s="3">
        <v>9.7093792715441302E-2</v>
      </c>
      <c r="L4" s="6">
        <v>0.128807611529314</v>
      </c>
      <c r="M4" s="3">
        <v>0.19424739859942</v>
      </c>
      <c r="N4" s="6">
        <v>0.132877685768301</v>
      </c>
      <c r="O4" s="19">
        <f t="shared" ref="O4:O30" si="1">AVERAGE(J4:N4)</f>
        <v>0.14031336830867427</v>
      </c>
    </row>
    <row r="5" spans="1:16" x14ac:dyDescent="0.35">
      <c r="A5" s="16">
        <v>1004</v>
      </c>
      <c r="B5" s="38">
        <v>0.15713295760111601</v>
      </c>
      <c r="C5" s="39">
        <v>0.111825747259636</v>
      </c>
      <c r="D5" s="38">
        <v>0.108259384729883</v>
      </c>
      <c r="E5" s="39">
        <v>0.15204033014604201</v>
      </c>
      <c r="F5" s="38">
        <v>0.117735839069937</v>
      </c>
      <c r="G5" s="16">
        <f t="shared" si="0"/>
        <v>0.12939885176132279</v>
      </c>
      <c r="H5" s="16"/>
      <c r="J5" s="6">
        <v>0.20428441686079499</v>
      </c>
      <c r="K5" s="3">
        <v>0.29777461472614503</v>
      </c>
      <c r="L5" s="6">
        <v>0.17166906836885601</v>
      </c>
      <c r="M5" s="3">
        <v>0.156344733495383</v>
      </c>
      <c r="N5" s="6">
        <v>9.1094742292459799E-2</v>
      </c>
      <c r="O5" s="19">
        <f t="shared" si="1"/>
        <v>0.18423351514872777</v>
      </c>
    </row>
    <row r="6" spans="1:16" x14ac:dyDescent="0.35">
      <c r="A6" s="16">
        <v>1005</v>
      </c>
      <c r="B6" s="38">
        <v>0.24656208573482299</v>
      </c>
      <c r="C6" s="39">
        <v>0.225583130490464</v>
      </c>
      <c r="D6" s="38">
        <v>0.14854598451182</v>
      </c>
      <c r="E6" s="39">
        <v>0.321672070140467</v>
      </c>
      <c r="F6" s="38">
        <v>0.28352669835127497</v>
      </c>
      <c r="G6" s="16">
        <f t="shared" si="0"/>
        <v>0.2451779938457698</v>
      </c>
      <c r="H6" s="16"/>
      <c r="J6" s="6">
        <v>0.30996386856486402</v>
      </c>
      <c r="K6" s="3">
        <v>0.19711092447939499</v>
      </c>
      <c r="L6" s="6">
        <v>0.229936674129885</v>
      </c>
      <c r="M6" s="3">
        <v>0.17911651420296101</v>
      </c>
      <c r="N6" s="6">
        <v>0.212620543865708</v>
      </c>
      <c r="O6" s="19">
        <f t="shared" si="1"/>
        <v>0.22574970504856257</v>
      </c>
    </row>
    <row r="7" spans="1:16" x14ac:dyDescent="0.35">
      <c r="A7" s="16">
        <v>1006</v>
      </c>
      <c r="B7" s="38">
        <v>0.141076616945043</v>
      </c>
      <c r="C7" s="39">
        <v>9.5371028711970299E-2</v>
      </c>
      <c r="D7" s="38">
        <v>0.119946632029587</v>
      </c>
      <c r="E7" s="39">
        <v>0.210101140927376</v>
      </c>
      <c r="F7" s="38">
        <v>0.20333950218107799</v>
      </c>
      <c r="G7" s="16">
        <f t="shared" si="0"/>
        <v>0.15396698415901086</v>
      </c>
      <c r="H7" s="16"/>
      <c r="J7" s="6">
        <v>0.14015373941422701</v>
      </c>
      <c r="K7" s="3">
        <v>0.14131092205863799</v>
      </c>
      <c r="L7" s="6">
        <v>9.8478454818255706E-2</v>
      </c>
      <c r="M7" s="3">
        <v>0.107395078617566</v>
      </c>
      <c r="N7" s="6">
        <v>0.15408767214205901</v>
      </c>
      <c r="O7" s="19">
        <f t="shared" si="1"/>
        <v>0.12828517341014914</v>
      </c>
    </row>
    <row r="8" spans="1:16" x14ac:dyDescent="0.35">
      <c r="A8" s="16">
        <v>1009</v>
      </c>
      <c r="B8" s="38">
        <v>0.13265164611618899</v>
      </c>
      <c r="C8" s="39">
        <v>0.111363918724712</v>
      </c>
      <c r="D8" s="38">
        <v>9.1864787158187494E-2</v>
      </c>
      <c r="E8" s="39">
        <v>8.7749838720616299E-2</v>
      </c>
      <c r="F8" s="38">
        <v>0.121441132877057</v>
      </c>
      <c r="G8" s="16">
        <f t="shared" si="0"/>
        <v>0.10901426471935236</v>
      </c>
      <c r="H8" s="16"/>
      <c r="J8" s="6">
        <v>0.10911063541720099</v>
      </c>
      <c r="K8" s="3">
        <v>9.2280787777824794E-2</v>
      </c>
      <c r="L8" s="6">
        <v>6.1224071525212802E-2</v>
      </c>
      <c r="M8" s="3">
        <v>0.112192672284911</v>
      </c>
      <c r="N8" s="6">
        <v>6.5775546289209702E-2</v>
      </c>
      <c r="O8" s="19">
        <f t="shared" si="1"/>
        <v>8.8116742658871858E-2</v>
      </c>
    </row>
    <row r="9" spans="1:16" x14ac:dyDescent="0.35">
      <c r="A9" s="16">
        <v>2001</v>
      </c>
      <c r="B9" s="38">
        <v>0.19984034616354501</v>
      </c>
      <c r="C9" s="39">
        <v>0.14678327877170799</v>
      </c>
      <c r="D9" s="38">
        <v>0.22878195195926501</v>
      </c>
      <c r="E9" s="39">
        <v>0.14922341881422299</v>
      </c>
      <c r="F9" s="38">
        <v>0.26979081587812698</v>
      </c>
      <c r="G9" s="16">
        <f t="shared" si="0"/>
        <v>0.19888396231737357</v>
      </c>
      <c r="H9" s="16"/>
      <c r="J9" s="6">
        <v>0.20591809712343601</v>
      </c>
      <c r="K9" s="3">
        <v>0.134352003055006</v>
      </c>
      <c r="L9" s="6">
        <v>9.8045123660791003E-2</v>
      </c>
      <c r="M9" s="3">
        <v>0.112312394089315</v>
      </c>
      <c r="N9" s="6">
        <v>0.166006445686462</v>
      </c>
      <c r="O9" s="19">
        <f t="shared" si="1"/>
        <v>0.14332681272300199</v>
      </c>
    </row>
    <row r="10" spans="1:16" x14ac:dyDescent="0.35">
      <c r="A10" s="16">
        <v>2002</v>
      </c>
      <c r="B10" s="38">
        <v>9.1655250765817195E-2</v>
      </c>
      <c r="C10" s="39">
        <v>4.8680984083080199E-2</v>
      </c>
      <c r="D10" s="38">
        <v>9.5660613027472197E-2</v>
      </c>
      <c r="E10" s="39">
        <v>9.1094807470581504E-2</v>
      </c>
      <c r="F10" s="38">
        <v>7.4365012479472706E-2</v>
      </c>
      <c r="G10" s="16">
        <f t="shared" si="0"/>
        <v>8.0291333565284756E-2</v>
      </c>
      <c r="H10" s="16"/>
      <c r="J10" s="6">
        <v>0.117817536045454</v>
      </c>
      <c r="K10" s="3">
        <v>7.5890063916862593E-2</v>
      </c>
      <c r="L10" s="6">
        <v>0.14253977586653799</v>
      </c>
      <c r="M10" s="3">
        <v>0.112482959867275</v>
      </c>
      <c r="N10" s="6">
        <v>0.13195246139373801</v>
      </c>
      <c r="O10" s="19">
        <f t="shared" si="1"/>
        <v>0.11613655941797352</v>
      </c>
    </row>
    <row r="11" spans="1:16" x14ac:dyDescent="0.35">
      <c r="A11" s="16">
        <v>2004</v>
      </c>
      <c r="B11" s="38">
        <v>0.20239901449459</v>
      </c>
      <c r="C11" s="39">
        <v>0.12164045781883299</v>
      </c>
      <c r="D11" s="38">
        <v>0.23332517557774901</v>
      </c>
      <c r="E11" s="39">
        <v>0.18527961281147801</v>
      </c>
      <c r="F11" s="38">
        <v>0.188820890494315</v>
      </c>
      <c r="G11" s="16">
        <f t="shared" si="0"/>
        <v>0.18629303023939298</v>
      </c>
      <c r="H11" s="16"/>
      <c r="J11" s="6">
        <v>0.116548284706392</v>
      </c>
      <c r="K11" s="3">
        <v>0.140174083663759</v>
      </c>
      <c r="L11" s="6">
        <v>0.164896091499594</v>
      </c>
      <c r="M11" s="3">
        <v>0.19508766485814999</v>
      </c>
      <c r="N11" s="6">
        <v>0.100648008400421</v>
      </c>
      <c r="O11" s="19">
        <f t="shared" si="1"/>
        <v>0.14347082662566318</v>
      </c>
    </row>
    <row r="12" spans="1:16" x14ac:dyDescent="0.35">
      <c r="A12" s="16">
        <v>2005</v>
      </c>
      <c r="B12" s="38">
        <v>0.17650195458081699</v>
      </c>
      <c r="C12" s="39">
        <v>0.12858855674695699</v>
      </c>
      <c r="D12" s="38">
        <v>0.13832724285530201</v>
      </c>
      <c r="E12" s="39">
        <v>0.17572404366549399</v>
      </c>
      <c r="F12" s="38">
        <v>0.189929611370105</v>
      </c>
      <c r="G12" s="16">
        <f t="shared" si="0"/>
        <v>0.161814281843735</v>
      </c>
      <c r="H12" s="16"/>
      <c r="J12" s="6">
        <v>0.176443112487112</v>
      </c>
      <c r="K12" s="3">
        <v>0.174424971267923</v>
      </c>
      <c r="L12" s="6">
        <v>0.163730049268525</v>
      </c>
      <c r="M12" s="3">
        <v>0.272618058388857</v>
      </c>
      <c r="N12" s="6">
        <v>0.176591579980696</v>
      </c>
      <c r="O12" s="19">
        <f t="shared" si="1"/>
        <v>0.19276155427862257</v>
      </c>
    </row>
    <row r="13" spans="1:16" x14ac:dyDescent="0.35">
      <c r="A13" s="16">
        <v>2006</v>
      </c>
      <c r="B13" s="38">
        <v>0.13405422232044201</v>
      </c>
      <c r="C13" s="39">
        <v>0.102798710753829</v>
      </c>
      <c r="D13" s="38">
        <v>0.15485423225983999</v>
      </c>
      <c r="E13" s="39">
        <v>0.14762014066398099</v>
      </c>
      <c r="F13" s="38">
        <v>8.1712948052122494E-2</v>
      </c>
      <c r="G13" s="16">
        <f t="shared" si="0"/>
        <v>0.12420805081004289</v>
      </c>
      <c r="H13" s="16"/>
      <c r="J13" s="6">
        <v>0.10067640716801</v>
      </c>
      <c r="K13" s="3">
        <v>0.19320702343371399</v>
      </c>
      <c r="L13" s="6">
        <v>0.14528625214972199</v>
      </c>
      <c r="M13" s="3">
        <v>9.4211820374831903E-2</v>
      </c>
      <c r="N13" s="6">
        <v>0.18738234890883099</v>
      </c>
      <c r="O13" s="19">
        <f t="shared" si="1"/>
        <v>0.14415277040702176</v>
      </c>
    </row>
    <row r="14" spans="1:16" x14ac:dyDescent="0.35">
      <c r="A14" s="16">
        <v>2007</v>
      </c>
      <c r="B14" s="38">
        <v>0.21046719807512701</v>
      </c>
      <c r="C14" s="39">
        <v>0.25759687206422799</v>
      </c>
      <c r="D14" s="38">
        <v>0.180588708664561</v>
      </c>
      <c r="E14" s="39">
        <v>0.217405256754714</v>
      </c>
      <c r="F14" s="38">
        <v>0.17498457297240999</v>
      </c>
      <c r="G14" s="16">
        <f t="shared" si="0"/>
        <v>0.20820852170620802</v>
      </c>
      <c r="H14" s="16"/>
      <c r="J14" s="6">
        <v>0.206526085345316</v>
      </c>
      <c r="K14" s="3">
        <v>0.158088614945883</v>
      </c>
      <c r="L14" s="6">
        <v>0.10466917455183999</v>
      </c>
      <c r="M14" s="3">
        <v>0.12950888734015001</v>
      </c>
      <c r="N14" s="6">
        <v>0.13712810955625501</v>
      </c>
      <c r="O14" s="19">
        <f t="shared" si="1"/>
        <v>0.1471841743478888</v>
      </c>
    </row>
    <row r="15" spans="1:16" x14ac:dyDescent="0.35">
      <c r="A15" s="16">
        <v>2008</v>
      </c>
      <c r="B15" s="38">
        <v>0.27285437265693102</v>
      </c>
      <c r="C15" s="39">
        <v>0.26791247114705002</v>
      </c>
      <c r="D15" s="38">
        <v>0.34629450334797801</v>
      </c>
      <c r="E15" s="39">
        <v>0.30377699096816102</v>
      </c>
      <c r="F15" s="38">
        <v>0.36213429418195497</v>
      </c>
      <c r="G15" s="16">
        <f t="shared" si="0"/>
        <v>0.31059452646041502</v>
      </c>
      <c r="H15" s="16"/>
      <c r="J15" s="6">
        <v>0.82047796926301397</v>
      </c>
      <c r="K15" s="3">
        <v>0.38343893748179297</v>
      </c>
      <c r="L15" s="6">
        <v>0.27919552621907101</v>
      </c>
      <c r="M15" s="3">
        <v>0.37437890933200602</v>
      </c>
      <c r="N15" s="6">
        <v>0.37864767104300801</v>
      </c>
      <c r="O15" s="19">
        <f t="shared" si="1"/>
        <v>0.44722780266777845</v>
      </c>
    </row>
    <row r="16" spans="1:16" x14ac:dyDescent="0.35">
      <c r="A16" s="16">
        <v>2009</v>
      </c>
      <c r="B16" s="38">
        <v>0.140089162540141</v>
      </c>
      <c r="C16" s="39">
        <v>0.1250577983967</v>
      </c>
      <c r="D16" s="38">
        <v>0.17185679059481501</v>
      </c>
      <c r="E16" s="39">
        <v>0.173810740148475</v>
      </c>
      <c r="F16" s="38">
        <v>0.15945766386466501</v>
      </c>
      <c r="G16" s="16">
        <f t="shared" si="0"/>
        <v>0.15405443110895919</v>
      </c>
      <c r="H16" s="16"/>
      <c r="J16" s="6">
        <v>0.236130760718083</v>
      </c>
      <c r="K16" s="3">
        <v>0.19161680604745501</v>
      </c>
      <c r="L16" s="6">
        <v>0.16440554400785401</v>
      </c>
      <c r="M16" s="3">
        <v>0.131020581591136</v>
      </c>
      <c r="N16" s="6">
        <v>0.49377683870067002</v>
      </c>
      <c r="O16" s="19">
        <f t="shared" si="1"/>
        <v>0.24339010621303961</v>
      </c>
    </row>
    <row r="17" spans="1:15" x14ac:dyDescent="0.35">
      <c r="A17" s="16">
        <v>2010</v>
      </c>
      <c r="B17" s="38">
        <v>0.212934303068503</v>
      </c>
      <c r="C17" s="39">
        <v>0.18083832680784101</v>
      </c>
      <c r="D17" s="38">
        <v>0.16632602633427501</v>
      </c>
      <c r="E17" s="39">
        <v>0.16682236520222599</v>
      </c>
      <c r="F17" s="38">
        <v>0.27562024327064799</v>
      </c>
      <c r="G17" s="16">
        <f t="shared" si="0"/>
        <v>0.20050825293669861</v>
      </c>
      <c r="H17" s="16"/>
      <c r="J17" s="6">
        <v>0.18557891379490399</v>
      </c>
      <c r="K17" s="3">
        <v>0.15184180422664001</v>
      </c>
      <c r="L17" s="6">
        <v>0.171823207729496</v>
      </c>
      <c r="M17" s="3">
        <v>0.132261411811124</v>
      </c>
      <c r="N17" s="6">
        <v>0.18976708535272699</v>
      </c>
      <c r="O17" s="19">
        <f t="shared" si="1"/>
        <v>0.1662544845829782</v>
      </c>
    </row>
    <row r="18" spans="1:15" x14ac:dyDescent="0.35">
      <c r="A18" s="16">
        <v>2011</v>
      </c>
      <c r="B18" s="38">
        <v>0.239902733581141</v>
      </c>
      <c r="C18" s="39">
        <v>0.119985301501061</v>
      </c>
      <c r="D18" s="38">
        <v>8.73156397016389E-2</v>
      </c>
      <c r="E18" s="39">
        <v>0.10932705384088399</v>
      </c>
      <c r="F18" s="38">
        <v>0.15112799657842699</v>
      </c>
      <c r="G18" s="16">
        <f t="shared" si="0"/>
        <v>0.1415317450406304</v>
      </c>
      <c r="H18" s="16"/>
      <c r="J18" s="6">
        <v>0.211807924006434</v>
      </c>
      <c r="K18" s="3">
        <v>9.38111901740558E-2</v>
      </c>
      <c r="L18" s="6">
        <v>0.13784741267497999</v>
      </c>
      <c r="M18" s="3">
        <v>0.16124158439733699</v>
      </c>
      <c r="N18" s="6">
        <v>0.13379227467047999</v>
      </c>
      <c r="O18" s="19">
        <f t="shared" si="1"/>
        <v>0.14770007718465736</v>
      </c>
    </row>
    <row r="19" spans="1:15" x14ac:dyDescent="0.35">
      <c r="A19" s="16">
        <v>2012</v>
      </c>
      <c r="B19" s="38">
        <v>0.106967944619143</v>
      </c>
      <c r="C19" s="39">
        <v>0.14682841945400199</v>
      </c>
      <c r="D19" s="38">
        <v>0.135204088185158</v>
      </c>
      <c r="E19" s="39">
        <v>0.13590068646400999</v>
      </c>
      <c r="F19" s="38">
        <v>0.118420083976704</v>
      </c>
      <c r="G19" s="16">
        <f t="shared" si="0"/>
        <v>0.12866424453980341</v>
      </c>
      <c r="H19" s="16"/>
      <c r="J19" s="6">
        <v>9.0676634885720198E-2</v>
      </c>
      <c r="K19" s="3">
        <v>8.8811666344719001E-2</v>
      </c>
      <c r="L19" s="6">
        <v>0.111269171251327</v>
      </c>
      <c r="M19" s="3">
        <v>0.113673567854774</v>
      </c>
      <c r="N19" s="6">
        <v>0.14618605692971701</v>
      </c>
      <c r="O19" s="19">
        <f t="shared" si="1"/>
        <v>0.11012341945325144</v>
      </c>
    </row>
    <row r="20" spans="1:15" x14ac:dyDescent="0.35">
      <c r="A20" s="16">
        <v>3001</v>
      </c>
      <c r="B20" s="38">
        <v>0.200410663612753</v>
      </c>
      <c r="C20" s="39">
        <v>0.62382430443206605</v>
      </c>
      <c r="D20" s="38">
        <v>0.11562560886058799</v>
      </c>
      <c r="E20" s="39">
        <v>0.13141047080601501</v>
      </c>
      <c r="F20" s="38">
        <v>9.6200787779156097E-2</v>
      </c>
      <c r="G20" s="16">
        <f t="shared" si="0"/>
        <v>0.23349436709811569</v>
      </c>
      <c r="H20" s="16"/>
      <c r="J20" s="6">
        <v>7.4967807704843695E-2</v>
      </c>
      <c r="K20" s="3">
        <v>0.15615273448548</v>
      </c>
      <c r="L20" s="6">
        <v>0.16361721248789901</v>
      </c>
      <c r="M20" s="3">
        <v>0.22470731552238901</v>
      </c>
      <c r="N20" s="6">
        <v>0.240438812407999</v>
      </c>
      <c r="O20" s="19">
        <f t="shared" si="1"/>
        <v>0.17197677652172214</v>
      </c>
    </row>
    <row r="21" spans="1:15" x14ac:dyDescent="0.35">
      <c r="A21" s="16">
        <v>3002</v>
      </c>
      <c r="B21" s="38">
        <v>0.11609808718481</v>
      </c>
      <c r="C21" s="39">
        <v>7.1840752022563695E-2</v>
      </c>
      <c r="D21" s="38">
        <v>8.6780793791673402E-2</v>
      </c>
      <c r="E21" s="39">
        <v>6.46431935291127E-2</v>
      </c>
      <c r="F21" s="38">
        <v>9.6616184167545194E-2</v>
      </c>
      <c r="G21" s="16">
        <f t="shared" si="0"/>
        <v>8.7195802139140993E-2</v>
      </c>
      <c r="H21" s="16"/>
      <c r="J21" s="6">
        <v>0.10156954553682999</v>
      </c>
      <c r="K21" s="3">
        <v>7.0950724205891103E-2</v>
      </c>
      <c r="L21" s="6">
        <v>0.101603296267485</v>
      </c>
      <c r="M21" s="3">
        <v>5.9948544878287602E-2</v>
      </c>
      <c r="N21" s="6">
        <v>7.9408546139524E-2</v>
      </c>
      <c r="O21" s="19">
        <f t="shared" si="1"/>
        <v>8.2696131405603543E-2</v>
      </c>
    </row>
    <row r="22" spans="1:15" x14ac:dyDescent="0.35">
      <c r="A22" s="16">
        <v>3003</v>
      </c>
      <c r="B22" s="38">
        <v>0.13780217303623099</v>
      </c>
      <c r="C22" s="39">
        <v>0.15833249027060001</v>
      </c>
      <c r="D22" s="38">
        <v>0.123632667589857</v>
      </c>
      <c r="E22" s="39">
        <v>0.10845249698957</v>
      </c>
      <c r="F22" s="38">
        <v>8.8146397541678703E-2</v>
      </c>
      <c r="G22" s="16">
        <f t="shared" si="0"/>
        <v>0.12327324508558737</v>
      </c>
      <c r="H22" s="16"/>
      <c r="J22" s="6">
        <v>0.20896289143500901</v>
      </c>
      <c r="K22" s="3">
        <v>0.15633351497599099</v>
      </c>
      <c r="L22" s="6">
        <v>0.11326037418528299</v>
      </c>
      <c r="M22" s="3">
        <v>9.8046620006251001E-2</v>
      </c>
      <c r="N22" s="6">
        <v>0.116373580542967</v>
      </c>
      <c r="O22" s="19">
        <f t="shared" si="1"/>
        <v>0.13859539622910019</v>
      </c>
    </row>
    <row r="23" spans="1:15" x14ac:dyDescent="0.35">
      <c r="A23" s="16">
        <v>3004</v>
      </c>
      <c r="B23" s="38">
        <v>0.12795070259698199</v>
      </c>
      <c r="C23" s="39">
        <v>0.117191225369407</v>
      </c>
      <c r="D23" s="38">
        <v>0.126537601732398</v>
      </c>
      <c r="E23" s="39">
        <v>0.111984682102864</v>
      </c>
      <c r="F23" s="38">
        <v>0.15938051177263801</v>
      </c>
      <c r="G23" s="16">
        <f t="shared" si="0"/>
        <v>0.12860894471485781</v>
      </c>
      <c r="H23" s="16"/>
      <c r="J23" s="6">
        <v>0.131094248944263</v>
      </c>
      <c r="K23" s="3">
        <v>0.14291882826574101</v>
      </c>
      <c r="L23" s="6">
        <v>0.104441116855765</v>
      </c>
      <c r="M23" s="3">
        <v>0.15757313157962299</v>
      </c>
      <c r="N23" s="6">
        <v>0.14309659057763499</v>
      </c>
      <c r="O23" s="19">
        <f t="shared" si="1"/>
        <v>0.1358247832446054</v>
      </c>
    </row>
    <row r="24" spans="1:15" x14ac:dyDescent="0.35">
      <c r="A24" s="16">
        <v>3006</v>
      </c>
      <c r="B24" s="38">
        <v>9.7717340920918896E-2</v>
      </c>
      <c r="C24" s="39">
        <v>7.6118851896998699E-2</v>
      </c>
      <c r="D24" s="38">
        <v>9.0136791157448395E-2</v>
      </c>
      <c r="E24" s="39">
        <v>0.11291232134196701</v>
      </c>
      <c r="F24" s="38">
        <v>0.12503163024170599</v>
      </c>
      <c r="G24" s="16">
        <f t="shared" si="0"/>
        <v>0.10038338711180779</v>
      </c>
      <c r="H24" s="16"/>
      <c r="J24" s="6">
        <v>0.150744873154919</v>
      </c>
      <c r="K24" s="3">
        <v>9.5674525019611503E-2</v>
      </c>
      <c r="L24" s="6">
        <v>7.9492705643010295E-2</v>
      </c>
      <c r="M24" s="3">
        <v>0.10069733260251799</v>
      </c>
      <c r="N24" s="6">
        <v>8.8233990019119704E-2</v>
      </c>
      <c r="O24" s="19">
        <f t="shared" si="1"/>
        <v>0.10296868528783572</v>
      </c>
    </row>
    <row r="25" spans="1:15" x14ac:dyDescent="0.35">
      <c r="A25" s="16">
        <v>3007</v>
      </c>
      <c r="B25" s="38">
        <v>0.185549094548147</v>
      </c>
      <c r="C25" s="39">
        <v>0.14887795102824899</v>
      </c>
      <c r="D25" s="38">
        <v>0.13555448087723199</v>
      </c>
      <c r="E25" s="39">
        <v>0.13095824479997201</v>
      </c>
      <c r="F25" s="38">
        <v>0.101244663116923</v>
      </c>
      <c r="G25" s="16">
        <f t="shared" si="0"/>
        <v>0.14043688687410461</v>
      </c>
      <c r="H25" s="16"/>
      <c r="J25" s="6">
        <v>0.209354047142459</v>
      </c>
      <c r="K25" s="3">
        <v>0.185317836992337</v>
      </c>
      <c r="L25" s="6">
        <v>0.140231873594831</v>
      </c>
      <c r="M25" s="3">
        <v>0.138405292580181</v>
      </c>
      <c r="N25" s="6">
        <v>0.17969510487569901</v>
      </c>
      <c r="O25" s="19">
        <f t="shared" si="1"/>
        <v>0.17060083103710139</v>
      </c>
    </row>
    <row r="26" spans="1:15" x14ac:dyDescent="0.35">
      <c r="A26" s="16">
        <v>3008</v>
      </c>
      <c r="B26" s="38">
        <v>0.172346251833634</v>
      </c>
      <c r="C26" s="39">
        <v>0.121472737758125</v>
      </c>
      <c r="D26" s="38">
        <v>0.127052541136806</v>
      </c>
      <c r="E26" s="39">
        <v>0.10465615465146599</v>
      </c>
      <c r="F26" s="38">
        <v>0.15117421648827001</v>
      </c>
      <c r="G26" s="16">
        <f t="shared" si="0"/>
        <v>0.1353403803736602</v>
      </c>
      <c r="H26" s="16"/>
      <c r="J26" s="6">
        <v>0.12784660422385799</v>
      </c>
      <c r="K26" s="3">
        <v>0.18195878920203601</v>
      </c>
      <c r="L26" s="6">
        <v>0.124119843045741</v>
      </c>
      <c r="M26" s="3">
        <v>0.61428454022664802</v>
      </c>
      <c r="N26" s="6">
        <v>0.27787930696461999</v>
      </c>
      <c r="O26" s="19">
        <f t="shared" si="1"/>
        <v>0.2652178167325806</v>
      </c>
    </row>
    <row r="27" spans="1:15" x14ac:dyDescent="0.35">
      <c r="A27" s="16">
        <v>3009</v>
      </c>
      <c r="B27" s="38">
        <v>0.119217773258311</v>
      </c>
      <c r="C27" s="39">
        <v>8.5138547513415305E-2</v>
      </c>
      <c r="D27" s="38">
        <v>8.8576429031580403E-2</v>
      </c>
      <c r="E27" s="39">
        <v>0.122027484193709</v>
      </c>
      <c r="F27" s="38">
        <v>0.16360989675842899</v>
      </c>
      <c r="G27" s="16">
        <f t="shared" si="0"/>
        <v>0.11571402615108894</v>
      </c>
      <c r="H27" s="16"/>
      <c r="J27" s="6">
        <v>9.87850189933666E-2</v>
      </c>
      <c r="K27" s="3">
        <v>0.119596446162784</v>
      </c>
      <c r="L27" s="6">
        <v>0.17441308606065101</v>
      </c>
      <c r="M27" s="3">
        <v>0.10775338663742701</v>
      </c>
      <c r="N27" s="6">
        <v>9.9067671162965401E-2</v>
      </c>
      <c r="O27" s="19">
        <f t="shared" si="1"/>
        <v>0.11992312180343881</v>
      </c>
    </row>
    <row r="28" spans="1:15" x14ac:dyDescent="0.35">
      <c r="A28" s="16">
        <v>3010</v>
      </c>
      <c r="B28" s="38">
        <v>0.22442085883688101</v>
      </c>
      <c r="C28" s="39">
        <v>0.154810478188906</v>
      </c>
      <c r="D28" s="38">
        <v>0.18934176975831499</v>
      </c>
      <c r="E28" s="39">
        <v>0.19179274503056001</v>
      </c>
      <c r="F28" s="38">
        <v>0.17656689810863499</v>
      </c>
      <c r="G28" s="16">
        <f t="shared" si="0"/>
        <v>0.1873865499846594</v>
      </c>
      <c r="H28" s="16"/>
      <c r="J28" s="6">
        <v>0.23297713451831101</v>
      </c>
      <c r="K28" s="3">
        <v>0.11364567330417601</v>
      </c>
      <c r="L28" s="6">
        <v>0.22562471485244601</v>
      </c>
      <c r="M28" s="3">
        <v>0.16015398740848599</v>
      </c>
      <c r="N28" s="6">
        <v>0.14258311169080001</v>
      </c>
      <c r="O28" s="19">
        <f t="shared" si="1"/>
        <v>0.17499692435484379</v>
      </c>
    </row>
    <row r="29" spans="1:15" x14ac:dyDescent="0.35">
      <c r="A29" s="16">
        <v>3011</v>
      </c>
      <c r="B29" s="38">
        <v>0.102434892967063</v>
      </c>
      <c r="C29" s="39">
        <v>7.8812422085453901E-2</v>
      </c>
      <c r="D29" s="38">
        <v>0.11171322019346799</v>
      </c>
      <c r="E29" s="39">
        <v>0.117812577406521</v>
      </c>
      <c r="F29" s="38">
        <v>0.12180504417983</v>
      </c>
      <c r="G29" s="16">
        <f t="shared" si="0"/>
        <v>0.10651563136646718</v>
      </c>
      <c r="H29" s="16"/>
      <c r="J29" s="6">
        <v>0.10154790407742301</v>
      </c>
      <c r="K29" s="3">
        <v>0.11578064350440601</v>
      </c>
      <c r="L29" s="6">
        <v>7.0103975865369206E-2</v>
      </c>
      <c r="M29" s="3">
        <v>9.6784438761712902E-2</v>
      </c>
      <c r="N29" s="6">
        <v>0.109079462020405</v>
      </c>
      <c r="O29" s="19">
        <f t="shared" si="1"/>
        <v>9.8659284845863213E-2</v>
      </c>
    </row>
    <row r="30" spans="1:15" x14ac:dyDescent="0.35">
      <c r="A30" s="16">
        <v>3012</v>
      </c>
      <c r="B30" s="38">
        <v>0.163528151436519</v>
      </c>
      <c r="C30" s="39">
        <v>0.20615420425770301</v>
      </c>
      <c r="D30" s="38">
        <v>9.4027622838787697E-2</v>
      </c>
      <c r="E30" s="39">
        <v>0.19996867316726499</v>
      </c>
      <c r="F30" s="38">
        <v>0.16026542506734001</v>
      </c>
      <c r="G30" s="16">
        <f t="shared" si="0"/>
        <v>0.16478881535352294</v>
      </c>
      <c r="H30" s="16"/>
      <c r="J30" s="6">
        <v>0.18800689654623401</v>
      </c>
      <c r="K30" s="3">
        <v>0.13936783965904201</v>
      </c>
      <c r="L30" s="6">
        <v>0.152969931459988</v>
      </c>
      <c r="M30" s="3">
        <v>0.135078154743527</v>
      </c>
      <c r="N30" s="6">
        <v>0.16692134979495299</v>
      </c>
      <c r="O30" s="19">
        <f t="shared" si="1"/>
        <v>0.1564688344407488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2832C-612E-4F69-A2F2-B4608226D9B4}">
  <dimension ref="A1:R30"/>
  <sheetViews>
    <sheetView workbookViewId="0">
      <selection activeCell="R4" sqref="R4"/>
    </sheetView>
  </sheetViews>
  <sheetFormatPr defaultRowHeight="14.5" x14ac:dyDescent="0.35"/>
  <cols>
    <col min="1" max="1" width="10.453125" style="16" customWidth="1"/>
    <col min="17" max="17" width="17.81640625" style="37" customWidth="1"/>
    <col min="18" max="18" width="15.26953125" customWidth="1"/>
  </cols>
  <sheetData>
    <row r="1" spans="1:18" x14ac:dyDescent="0.35">
      <c r="A1" s="35" t="s">
        <v>0</v>
      </c>
      <c r="B1" s="9" t="s">
        <v>52</v>
      </c>
      <c r="C1" s="9" t="s">
        <v>52</v>
      </c>
      <c r="D1" s="9" t="s">
        <v>52</v>
      </c>
      <c r="E1" s="7" t="s">
        <v>53</v>
      </c>
      <c r="F1" s="7" t="s">
        <v>53</v>
      </c>
      <c r="G1" s="7" t="s">
        <v>53</v>
      </c>
      <c r="H1" s="9" t="s">
        <v>54</v>
      </c>
      <c r="I1" s="9" t="s">
        <v>54</v>
      </c>
      <c r="J1" s="9" t="s">
        <v>54</v>
      </c>
      <c r="K1" s="7" t="s">
        <v>55</v>
      </c>
      <c r="L1" s="7" t="s">
        <v>55</v>
      </c>
      <c r="M1" s="7" t="s">
        <v>55</v>
      </c>
      <c r="N1" s="9" t="s">
        <v>56</v>
      </c>
      <c r="O1" s="9" t="s">
        <v>56</v>
      </c>
      <c r="P1" s="9" t="s">
        <v>56</v>
      </c>
      <c r="Q1" s="36" t="s">
        <v>45</v>
      </c>
      <c r="R1" s="1" t="s">
        <v>39</v>
      </c>
    </row>
    <row r="2" spans="1:18" x14ac:dyDescent="0.35">
      <c r="A2" s="16">
        <v>1001</v>
      </c>
      <c r="B2" s="3">
        <v>0.16541662136427601</v>
      </c>
      <c r="C2" s="3">
        <v>0.17069058598596501</v>
      </c>
      <c r="D2" s="3">
        <v>0.102688238341786</v>
      </c>
      <c r="E2" s="6">
        <v>0.134008868740633</v>
      </c>
      <c r="F2" s="6">
        <v>0.190067426875555</v>
      </c>
      <c r="G2" s="6">
        <v>0.65018519588618695</v>
      </c>
      <c r="H2" s="3">
        <v>0.17286104374605499</v>
      </c>
      <c r="I2" s="3">
        <v>0.14677390808906901</v>
      </c>
      <c r="J2" s="3">
        <v>0.16394759281879301</v>
      </c>
      <c r="K2" s="6">
        <v>0.152759260917051</v>
      </c>
      <c r="L2" s="6">
        <v>0.155309883503013</v>
      </c>
      <c r="M2" s="6">
        <v>8.8326820290112906E-2</v>
      </c>
      <c r="N2" s="3">
        <v>0.16470187462935901</v>
      </c>
      <c r="O2" s="3">
        <v>0.14075404121846199</v>
      </c>
      <c r="P2" s="3">
        <v>0.102637748290616</v>
      </c>
      <c r="Q2" s="37">
        <f>AVERAGE(B2:P2)</f>
        <v>0.18007527404646223</v>
      </c>
      <c r="R2">
        <f>AVERAGE(Q2:Q30)</f>
        <v>0.13411185419120622</v>
      </c>
    </row>
    <row r="3" spans="1:18" x14ac:dyDescent="0.35">
      <c r="A3" s="16">
        <v>1002</v>
      </c>
      <c r="B3" s="3">
        <v>6.7178422043280103E-2</v>
      </c>
      <c r="C3" s="3">
        <v>0.108677842147371</v>
      </c>
      <c r="D3" s="3">
        <v>9.1439057483329894E-2</v>
      </c>
      <c r="E3" s="6">
        <v>0.115149244373959</v>
      </c>
      <c r="F3" s="6">
        <v>0.116052312214345</v>
      </c>
      <c r="G3" s="6">
        <v>6.6298094213531195E-2</v>
      </c>
      <c r="H3" s="3">
        <v>0.13746594196776901</v>
      </c>
      <c r="I3" s="3">
        <v>0.11301611777331</v>
      </c>
      <c r="J3" s="3">
        <v>9.9954968053730206E-2</v>
      </c>
      <c r="K3" s="6">
        <v>0.135922099917405</v>
      </c>
      <c r="L3" s="6">
        <v>7.9281899403138303E-2</v>
      </c>
      <c r="M3" s="6">
        <v>9.2097846432809397E-2</v>
      </c>
      <c r="N3" s="3">
        <v>0.116616037771637</v>
      </c>
      <c r="O3" s="3">
        <v>0.22232633914674599</v>
      </c>
      <c r="P3" s="3">
        <v>0.12798069067045301</v>
      </c>
      <c r="Q3" s="37">
        <f t="shared" ref="Q3:Q30" si="0">AVERAGE(B3:P3)</f>
        <v>0.11263046090752095</v>
      </c>
    </row>
    <row r="4" spans="1:18" x14ac:dyDescent="0.35">
      <c r="A4" s="16">
        <v>1003</v>
      </c>
      <c r="B4" s="3">
        <v>0.11944418894580699</v>
      </c>
      <c r="C4" s="3">
        <v>0.108707268566479</v>
      </c>
      <c r="D4" s="3">
        <v>8.9765549180552601E-2</v>
      </c>
      <c r="E4" s="6">
        <v>9.9636054015142805E-2</v>
      </c>
      <c r="F4" s="6">
        <v>8.4602136096225106E-2</v>
      </c>
      <c r="G4" s="6">
        <v>8.3178220832914304E-2</v>
      </c>
      <c r="H4" s="3">
        <v>0.11215281209847899</v>
      </c>
      <c r="I4" s="3">
        <v>0.10461986839731501</v>
      </c>
      <c r="J4" s="3">
        <v>0.15574416999906701</v>
      </c>
      <c r="K4" s="6">
        <v>0.16945003416684701</v>
      </c>
      <c r="L4" s="6">
        <v>0.10202066679534801</v>
      </c>
      <c r="M4" s="6">
        <v>6.6493286338168006E-2</v>
      </c>
      <c r="N4" s="3">
        <v>0.109662436531475</v>
      </c>
      <c r="O4" s="3">
        <v>0.115073900934516</v>
      </c>
      <c r="P4" s="3">
        <v>0.104289796117776</v>
      </c>
      <c r="Q4" s="37">
        <f t="shared" si="0"/>
        <v>0.10832269260107412</v>
      </c>
    </row>
    <row r="5" spans="1:18" x14ac:dyDescent="0.35">
      <c r="A5" s="16">
        <v>1004</v>
      </c>
      <c r="B5" s="3">
        <v>8.3056822223631296E-2</v>
      </c>
      <c r="C5" s="3">
        <v>0.10619549190637501</v>
      </c>
      <c r="D5" s="3">
        <v>9.8339622595581502E-2</v>
      </c>
      <c r="E5" s="6">
        <v>0.113191222186137</v>
      </c>
      <c r="F5" s="6">
        <v>0.112124518641504</v>
      </c>
      <c r="G5" s="6">
        <v>8.8367840457954205E-2</v>
      </c>
      <c r="H5" s="3">
        <v>9.59377470034255E-2</v>
      </c>
      <c r="I5" s="3">
        <v>8.6894943662131005E-2</v>
      </c>
      <c r="J5" s="3">
        <v>0.100819000606255</v>
      </c>
      <c r="K5" s="6">
        <v>8.5880700061892301E-2</v>
      </c>
      <c r="L5" s="6">
        <v>0.11504754247533901</v>
      </c>
      <c r="M5" s="6">
        <v>0.15099344434461401</v>
      </c>
      <c r="N5" s="3">
        <v>0.123416508397616</v>
      </c>
      <c r="O5" s="3">
        <v>7.7164893041554106E-2</v>
      </c>
      <c r="P5" s="3">
        <v>9.9235101956661007E-2</v>
      </c>
      <c r="Q5" s="37">
        <f t="shared" si="0"/>
        <v>0.1024443599707114</v>
      </c>
    </row>
    <row r="6" spans="1:18" x14ac:dyDescent="0.35">
      <c r="A6" s="16">
        <v>1005</v>
      </c>
      <c r="B6" s="3">
        <v>0.19265654759629799</v>
      </c>
      <c r="C6" s="3">
        <v>0.117562606841056</v>
      </c>
      <c r="D6" s="3">
        <v>0.14895586375599401</v>
      </c>
      <c r="E6" s="6">
        <v>0.10651623048983901</v>
      </c>
      <c r="F6" s="6">
        <v>0.13227124563349399</v>
      </c>
      <c r="G6" s="6">
        <v>0.143568311112516</v>
      </c>
      <c r="H6" s="3">
        <v>0.14019958989192599</v>
      </c>
      <c r="I6" s="3">
        <v>0.102244685880213</v>
      </c>
      <c r="J6" s="3">
        <v>0.36170175288614997</v>
      </c>
      <c r="K6" s="6">
        <v>0.13069212591861801</v>
      </c>
      <c r="L6" s="6">
        <v>0.126368932988626</v>
      </c>
      <c r="M6" s="6">
        <v>0.106153959846652</v>
      </c>
      <c r="N6" s="3">
        <v>0.22787864990285001</v>
      </c>
      <c r="O6" s="3">
        <v>0.14832453361978901</v>
      </c>
      <c r="P6" s="3">
        <v>0.16987581965469001</v>
      </c>
      <c r="Q6" s="37">
        <f t="shared" si="0"/>
        <v>0.15699805706791406</v>
      </c>
    </row>
    <row r="7" spans="1:18" x14ac:dyDescent="0.35">
      <c r="A7" s="16">
        <v>1006</v>
      </c>
      <c r="B7" s="3">
        <v>0.12501424477607201</v>
      </c>
      <c r="C7" s="3">
        <v>0.101872091756407</v>
      </c>
      <c r="D7" s="3">
        <v>9.6088629123757305E-2</v>
      </c>
      <c r="E7" s="6">
        <v>0.129281323278814</v>
      </c>
      <c r="F7" s="6">
        <v>9.8363566679397205E-2</v>
      </c>
      <c r="G7" s="6">
        <v>0.14581067405058301</v>
      </c>
      <c r="H7" s="3">
        <v>0.104161635332526</v>
      </c>
      <c r="I7" s="3">
        <v>0.13241188538655299</v>
      </c>
      <c r="J7" s="3">
        <v>9.4165845883087601E-2</v>
      </c>
      <c r="K7" s="6">
        <v>0.11035313464573</v>
      </c>
      <c r="L7" s="6">
        <v>0.136576686849115</v>
      </c>
      <c r="M7" s="6">
        <v>0.11902785211991999</v>
      </c>
      <c r="N7" s="3">
        <v>0.108893961662497</v>
      </c>
      <c r="O7" s="3">
        <v>0.11233632247648601</v>
      </c>
      <c r="P7" s="3">
        <v>0.104014652876562</v>
      </c>
      <c r="Q7" s="37">
        <f t="shared" si="0"/>
        <v>0.11455816712650048</v>
      </c>
    </row>
    <row r="8" spans="1:18" x14ac:dyDescent="0.35">
      <c r="A8" s="16">
        <v>1009</v>
      </c>
      <c r="B8" s="3">
        <v>0.283934269177951</v>
      </c>
      <c r="C8" s="3">
        <v>0.15533866888330899</v>
      </c>
      <c r="D8" s="3">
        <v>0.181228824568373</v>
      </c>
      <c r="E8" s="6">
        <v>0.12473851560820801</v>
      </c>
      <c r="F8" s="6">
        <v>0.110090565687924</v>
      </c>
      <c r="G8" s="6">
        <v>0.18722594721063501</v>
      </c>
      <c r="H8" s="3">
        <v>0.225099395061126</v>
      </c>
      <c r="I8" s="3">
        <v>0.15178565634423899</v>
      </c>
      <c r="J8" s="3">
        <v>0.18095388330874099</v>
      </c>
      <c r="K8" s="6">
        <v>0.19168692271047</v>
      </c>
      <c r="L8" s="6">
        <v>0.26433690403918603</v>
      </c>
      <c r="M8" s="6">
        <v>0.16235030562614999</v>
      </c>
      <c r="N8" s="3">
        <v>0.261540171554899</v>
      </c>
      <c r="O8" s="3">
        <v>0.12324387084687501</v>
      </c>
      <c r="P8" s="3">
        <v>0.13489943925016701</v>
      </c>
      <c r="Q8" s="37">
        <f t="shared" si="0"/>
        <v>0.18256355599188356</v>
      </c>
    </row>
    <row r="9" spans="1:18" x14ac:dyDescent="0.35">
      <c r="A9" s="16">
        <v>2001</v>
      </c>
      <c r="B9" s="3">
        <v>0.128509499275511</v>
      </c>
      <c r="C9" s="3">
        <v>0.16288007407251701</v>
      </c>
      <c r="D9" s="3">
        <v>0.114855595618147</v>
      </c>
      <c r="E9" s="6">
        <v>0.12891950791151699</v>
      </c>
      <c r="F9" s="6">
        <v>0.111311200338056</v>
      </c>
      <c r="G9" s="6">
        <v>0.179322203315184</v>
      </c>
      <c r="H9" s="3">
        <v>0.23076807139161301</v>
      </c>
      <c r="I9" s="3">
        <v>0.13901436509721601</v>
      </c>
      <c r="J9" s="3">
        <v>0.14070322407215599</v>
      </c>
      <c r="K9" s="6">
        <v>0.120768899363306</v>
      </c>
      <c r="L9" s="6">
        <v>0.14833554635290699</v>
      </c>
      <c r="M9" s="6">
        <v>7.6908109294781798E-2</v>
      </c>
      <c r="N9" s="3">
        <v>0.17539137763597601</v>
      </c>
      <c r="O9" s="3">
        <v>0.11671374025084599</v>
      </c>
      <c r="P9" s="3">
        <v>0.15336886109026199</v>
      </c>
      <c r="Q9" s="37">
        <f t="shared" si="0"/>
        <v>0.14185135167199972</v>
      </c>
    </row>
    <row r="10" spans="1:18" x14ac:dyDescent="0.35">
      <c r="A10" s="16">
        <v>2002</v>
      </c>
      <c r="B10" s="3">
        <v>0.113856534899128</v>
      </c>
      <c r="C10" s="3">
        <v>0.12937239051324601</v>
      </c>
      <c r="D10" s="3">
        <v>0.10662253436341899</v>
      </c>
      <c r="E10" s="6">
        <v>6.2540926677242495E-2</v>
      </c>
      <c r="F10" s="6">
        <v>8.0998151567253401E-2</v>
      </c>
      <c r="G10" s="6">
        <v>8.4893832807924993E-2</v>
      </c>
      <c r="H10" s="3">
        <v>9.4503937277654201E-2</v>
      </c>
      <c r="I10" s="3">
        <v>5.5623444753189602E-2</v>
      </c>
      <c r="J10" s="3">
        <v>8.9441421861744599E-2</v>
      </c>
      <c r="K10" s="6">
        <v>8.7290883181341705E-2</v>
      </c>
      <c r="L10" s="6">
        <v>9.1298172906477307E-2</v>
      </c>
      <c r="M10" s="6">
        <v>5.13985166695409E-2</v>
      </c>
      <c r="N10" s="3">
        <v>0.10277854409232599</v>
      </c>
      <c r="O10" s="3">
        <v>8.7169136329468599E-2</v>
      </c>
      <c r="P10" s="3">
        <v>0.13057307755856501</v>
      </c>
      <c r="Q10" s="37">
        <f t="shared" si="0"/>
        <v>9.1224100363901439E-2</v>
      </c>
    </row>
    <row r="11" spans="1:18" x14ac:dyDescent="0.35">
      <c r="A11" s="16">
        <v>2004</v>
      </c>
      <c r="B11" s="3">
        <v>0.15457863810853301</v>
      </c>
      <c r="C11" s="3">
        <v>0.22935637239593401</v>
      </c>
      <c r="D11" s="3">
        <v>0.105843119356769</v>
      </c>
      <c r="E11" s="6">
        <v>0.116439082403201</v>
      </c>
      <c r="F11" s="6">
        <v>0.14859805391370501</v>
      </c>
      <c r="G11" s="6">
        <v>0.14797042009458899</v>
      </c>
      <c r="H11" s="3">
        <v>0.14136618776856899</v>
      </c>
      <c r="I11" s="3">
        <v>0.45243670792868801</v>
      </c>
      <c r="J11" s="3">
        <v>0.12037853292447501</v>
      </c>
      <c r="K11" s="6">
        <v>0.20575278868764099</v>
      </c>
      <c r="L11" s="6">
        <v>0.10500829889226999</v>
      </c>
      <c r="M11" s="6">
        <v>0.33011812076057601</v>
      </c>
      <c r="N11" s="3">
        <v>0.15377783849284599</v>
      </c>
      <c r="O11" s="3">
        <v>0.13983069406443999</v>
      </c>
      <c r="P11" s="3">
        <v>0.22366126573063899</v>
      </c>
      <c r="Q11" s="37">
        <f t="shared" si="0"/>
        <v>0.18500774143485837</v>
      </c>
    </row>
    <row r="12" spans="1:18" x14ac:dyDescent="0.35">
      <c r="A12" s="16">
        <v>2005</v>
      </c>
      <c r="B12" s="3">
        <v>8.7928686950863796E-2</v>
      </c>
      <c r="C12" s="3">
        <v>0.112509054575973</v>
      </c>
      <c r="D12" s="3">
        <v>0.15783563028813899</v>
      </c>
      <c r="E12" s="6">
        <v>0.13486631176920799</v>
      </c>
      <c r="F12" s="6">
        <v>0.25695382842965597</v>
      </c>
      <c r="G12" s="6">
        <v>0.115713171355943</v>
      </c>
      <c r="H12" s="3">
        <v>0.181013755845534</v>
      </c>
      <c r="I12" s="3">
        <v>0.243811509804507</v>
      </c>
      <c r="J12" s="3">
        <v>0.35693838704143399</v>
      </c>
      <c r="K12" s="6">
        <v>0.21891286260333101</v>
      </c>
      <c r="L12" s="6">
        <v>0.26170139051685698</v>
      </c>
      <c r="M12" s="6">
        <v>0.270572884331508</v>
      </c>
      <c r="N12" s="3">
        <v>0.156014734022908</v>
      </c>
      <c r="O12" s="3">
        <v>0.124934627874818</v>
      </c>
      <c r="P12" s="3">
        <v>0.210763561879349</v>
      </c>
      <c r="Q12" s="37">
        <f t="shared" si="0"/>
        <v>0.1926980264860019</v>
      </c>
    </row>
    <row r="13" spans="1:18" x14ac:dyDescent="0.35">
      <c r="A13" s="16">
        <v>2006</v>
      </c>
      <c r="B13" s="3">
        <v>0.151914066513572</v>
      </c>
      <c r="C13" s="3">
        <v>9.1856015926924495E-2</v>
      </c>
      <c r="D13" s="3">
        <v>7.7517241646720206E-2</v>
      </c>
      <c r="E13" s="6">
        <v>6.6151973069554698E-2</v>
      </c>
      <c r="F13" s="6">
        <v>7.4297174302009203E-2</v>
      </c>
      <c r="G13" s="6">
        <v>0.16011633988295201</v>
      </c>
      <c r="H13" s="3">
        <v>0.10676446610844</v>
      </c>
      <c r="I13" s="3">
        <v>0.13243542883100401</v>
      </c>
      <c r="J13" s="3">
        <v>9.5345827608826497E-2</v>
      </c>
      <c r="K13" s="6">
        <v>0.17463376383630499</v>
      </c>
      <c r="L13" s="6">
        <v>8.7904808658421804E-2</v>
      </c>
      <c r="M13" s="6">
        <v>0.198266248940139</v>
      </c>
      <c r="N13" s="3">
        <v>0.11513843964918501</v>
      </c>
      <c r="O13" s="3">
        <v>0.110352509643679</v>
      </c>
      <c r="P13" s="3">
        <v>0.14896722596635401</v>
      </c>
      <c r="Q13" s="37">
        <f t="shared" si="0"/>
        <v>0.11944410203893913</v>
      </c>
    </row>
    <row r="14" spans="1:18" x14ac:dyDescent="0.35">
      <c r="A14" s="16">
        <v>2007</v>
      </c>
      <c r="B14" s="3">
        <v>8.0118205821415697E-2</v>
      </c>
      <c r="C14" s="3">
        <v>0.15034414671215601</v>
      </c>
      <c r="D14" s="3">
        <v>0.119120763380178</v>
      </c>
      <c r="E14" s="6">
        <v>0.125796861889276</v>
      </c>
      <c r="F14" s="6">
        <v>0.16419522655841701</v>
      </c>
      <c r="G14" s="6">
        <v>0.12069376227287899</v>
      </c>
      <c r="H14" s="3">
        <v>0.127247744357492</v>
      </c>
      <c r="I14" s="3">
        <v>9.8474496936854297E-2</v>
      </c>
      <c r="J14" s="3">
        <v>8.8285455795905493E-2</v>
      </c>
      <c r="K14" s="6">
        <v>0.13549529997291099</v>
      </c>
      <c r="L14" s="6">
        <v>0.140955643499793</v>
      </c>
      <c r="M14" s="6">
        <v>0.106547100558186</v>
      </c>
      <c r="N14" s="3">
        <v>0.22866872461569901</v>
      </c>
      <c r="O14" s="3">
        <v>0.10985579559200701</v>
      </c>
      <c r="P14" s="3">
        <v>0.20770152799073999</v>
      </c>
      <c r="Q14" s="37">
        <f t="shared" si="0"/>
        <v>0.13356671706359396</v>
      </c>
    </row>
    <row r="15" spans="1:18" x14ac:dyDescent="0.35">
      <c r="A15" s="16">
        <v>2008</v>
      </c>
      <c r="B15" s="3">
        <v>0.24519884254440899</v>
      </c>
      <c r="C15" s="3">
        <v>0.42039656674232501</v>
      </c>
      <c r="D15" s="3">
        <v>0.204073580330002</v>
      </c>
      <c r="E15" s="6">
        <v>0.22888329236962701</v>
      </c>
      <c r="F15" s="6">
        <v>0.322311066217911</v>
      </c>
      <c r="G15" s="6">
        <v>0.20486975260659199</v>
      </c>
      <c r="H15" s="3">
        <v>0.607558120777697</v>
      </c>
      <c r="I15" s="3">
        <v>0.405647487736081</v>
      </c>
      <c r="J15" s="3">
        <v>0.15878295734974901</v>
      </c>
      <c r="K15" s="6">
        <v>0.25449045227477901</v>
      </c>
      <c r="L15" s="6">
        <v>0.16419230006712299</v>
      </c>
      <c r="M15" s="6">
        <v>0.28788615095473202</v>
      </c>
      <c r="N15" s="3">
        <v>0.23285977094719601</v>
      </c>
      <c r="O15" s="3">
        <v>0.18320309127784101</v>
      </c>
      <c r="P15" s="3">
        <v>0.22622979252908501</v>
      </c>
      <c r="Q15" s="37">
        <f t="shared" si="0"/>
        <v>0.27643888164834329</v>
      </c>
    </row>
    <row r="16" spans="1:18" x14ac:dyDescent="0.35">
      <c r="A16" s="16">
        <v>2009</v>
      </c>
      <c r="B16" s="3">
        <v>0.120550783070811</v>
      </c>
      <c r="C16" s="3">
        <v>8.8321714654005498E-2</v>
      </c>
      <c r="D16" s="3">
        <v>7.6582459857114593E-2</v>
      </c>
      <c r="E16" s="6">
        <v>0.10117133461894701</v>
      </c>
      <c r="F16" s="6">
        <v>0.116839143536939</v>
      </c>
      <c r="G16" s="6">
        <v>0.11845436470008799</v>
      </c>
      <c r="H16" s="3">
        <v>0.14359047138790801</v>
      </c>
      <c r="I16" s="3">
        <v>0.18714406633460601</v>
      </c>
      <c r="J16" s="3">
        <v>0.11657997982450199</v>
      </c>
      <c r="K16" s="6">
        <v>0.12469285071241</v>
      </c>
      <c r="L16" s="6">
        <v>0.19209873200094099</v>
      </c>
      <c r="M16" s="6">
        <v>0.141646070503812</v>
      </c>
      <c r="N16" s="3">
        <v>0.20723439600082499</v>
      </c>
      <c r="O16" s="3">
        <v>0.12716163859886601</v>
      </c>
      <c r="P16" s="3">
        <v>0.13813573441289101</v>
      </c>
      <c r="Q16" s="37">
        <f t="shared" si="0"/>
        <v>0.13334691601431109</v>
      </c>
    </row>
    <row r="17" spans="1:17" x14ac:dyDescent="0.35">
      <c r="A17" s="16">
        <v>2010</v>
      </c>
      <c r="B17" s="3">
        <v>0.19860051935631301</v>
      </c>
      <c r="C17" s="3">
        <v>0.24990277798541699</v>
      </c>
      <c r="D17" s="3">
        <v>0.26677556972093902</v>
      </c>
      <c r="E17" s="6">
        <v>0.174013589475223</v>
      </c>
      <c r="F17" s="6">
        <v>0.130283239034992</v>
      </c>
      <c r="G17" s="6">
        <v>0.17021813042183001</v>
      </c>
      <c r="H17" s="3">
        <v>0.15832686490211401</v>
      </c>
      <c r="I17" s="3">
        <v>0.16512427835738799</v>
      </c>
      <c r="J17" s="3">
        <v>0.136468129803585</v>
      </c>
      <c r="K17" s="6">
        <v>8.3826451288791903E-2</v>
      </c>
      <c r="L17" s="6">
        <v>0.179220438839408</v>
      </c>
      <c r="M17" s="6">
        <v>0.13579463043491199</v>
      </c>
      <c r="N17" s="3">
        <v>0.14320766479215999</v>
      </c>
      <c r="O17" s="3">
        <v>0.187500606932887</v>
      </c>
      <c r="P17" s="3">
        <v>7.8174671449095595E-2</v>
      </c>
      <c r="Q17" s="37">
        <f t="shared" si="0"/>
        <v>0.16382917085300369</v>
      </c>
    </row>
    <row r="18" spans="1:17" x14ac:dyDescent="0.35">
      <c r="A18" s="16">
        <v>2011</v>
      </c>
      <c r="B18" s="3">
        <v>0.12589574134234</v>
      </c>
      <c r="C18" s="3">
        <v>0.11329008463235</v>
      </c>
      <c r="D18" s="3">
        <v>0.11143856272555</v>
      </c>
      <c r="E18" s="6">
        <v>8.4935851151132405E-2</v>
      </c>
      <c r="F18" s="6">
        <v>0.101573922401899</v>
      </c>
      <c r="G18" s="6">
        <v>0.12587488805753799</v>
      </c>
      <c r="H18" s="3">
        <v>9.6610120932596896E-2</v>
      </c>
      <c r="I18" s="3">
        <v>8.0265669668184006E-2</v>
      </c>
      <c r="J18" s="3">
        <v>6.2794542592984004E-2</v>
      </c>
      <c r="K18" s="6">
        <v>0.100459571405284</v>
      </c>
      <c r="L18" s="6">
        <v>9.63424827893547E-2</v>
      </c>
      <c r="M18" s="6">
        <v>7.6944685271592594E-2</v>
      </c>
      <c r="N18" s="3">
        <v>7.9159708758540295E-2</v>
      </c>
      <c r="O18" s="3">
        <v>6.7039454419103306E-2</v>
      </c>
      <c r="P18" s="3">
        <v>7.8384745303867201E-2</v>
      </c>
      <c r="Q18" s="37">
        <f t="shared" si="0"/>
        <v>9.3400668763487779E-2</v>
      </c>
    </row>
    <row r="19" spans="1:17" x14ac:dyDescent="0.35">
      <c r="A19" s="16">
        <v>2012</v>
      </c>
      <c r="B19" s="3">
        <v>0.169193791557396</v>
      </c>
      <c r="C19" s="3">
        <v>7.6848118980407207E-2</v>
      </c>
      <c r="D19" s="3">
        <v>0.102554644087037</v>
      </c>
      <c r="E19" s="6">
        <v>0.12450234084925101</v>
      </c>
      <c r="F19" s="6">
        <v>0.113853400563538</v>
      </c>
      <c r="G19" s="6">
        <v>0.14366208469908001</v>
      </c>
      <c r="H19" s="3">
        <v>0.14606321872340799</v>
      </c>
      <c r="I19" s="3">
        <v>0.16378995333059401</v>
      </c>
      <c r="J19" s="3">
        <v>0.1124829862825</v>
      </c>
      <c r="K19" s="6">
        <v>8.6083414691282001E-2</v>
      </c>
      <c r="L19" s="6">
        <v>0.113371220710069</v>
      </c>
      <c r="M19" s="6">
        <v>0.168161208037992</v>
      </c>
      <c r="N19" s="3">
        <v>6.10953609306066E-2</v>
      </c>
      <c r="O19" s="3">
        <v>7.9640020971662895E-2</v>
      </c>
      <c r="P19" s="3">
        <v>0.136961379165495</v>
      </c>
      <c r="Q19" s="37">
        <f t="shared" si="0"/>
        <v>0.11988420957202124</v>
      </c>
    </row>
    <row r="20" spans="1:17" x14ac:dyDescent="0.35">
      <c r="A20" s="16">
        <v>3001</v>
      </c>
      <c r="B20" s="3">
        <v>0.16256250551936899</v>
      </c>
      <c r="C20" s="3">
        <v>0.14418208565273699</v>
      </c>
      <c r="D20" s="3">
        <v>5.8164650578291101E-2</v>
      </c>
      <c r="E20" s="6">
        <v>0.152997506939237</v>
      </c>
      <c r="F20" s="6">
        <v>0.122592467721166</v>
      </c>
      <c r="G20" s="6">
        <v>9.9704308549122794E-2</v>
      </c>
      <c r="H20" s="3">
        <v>0.10138664466123699</v>
      </c>
      <c r="I20" s="3">
        <v>0.12894099323011499</v>
      </c>
      <c r="J20" s="3">
        <v>0.16560104575988199</v>
      </c>
      <c r="K20" s="6">
        <v>0.16294796807342099</v>
      </c>
      <c r="L20" s="6">
        <v>0.122974104513144</v>
      </c>
      <c r="M20" s="6">
        <v>0.17883139960310401</v>
      </c>
      <c r="N20" s="3">
        <v>0.20959614303988899</v>
      </c>
      <c r="O20" s="3">
        <v>0.16924889884617</v>
      </c>
      <c r="P20" s="3">
        <v>9.6670018581287806E-2</v>
      </c>
      <c r="Q20" s="37">
        <f t="shared" si="0"/>
        <v>0.13842671608454485</v>
      </c>
    </row>
    <row r="21" spans="1:17" x14ac:dyDescent="0.35">
      <c r="A21" s="16">
        <v>3002</v>
      </c>
      <c r="B21" s="3">
        <v>9.9510192375000098E-2</v>
      </c>
      <c r="C21" s="3">
        <v>0.109586542046288</v>
      </c>
      <c r="D21" s="3">
        <v>8.8254013567804004E-2</v>
      </c>
      <c r="E21" s="6">
        <v>5.7412634905996997E-2</v>
      </c>
      <c r="F21" s="6">
        <v>5.1263371313178097E-2</v>
      </c>
      <c r="G21" s="6">
        <v>6.6753559459030595E-2</v>
      </c>
      <c r="H21" s="3">
        <v>6.9387185149201294E-2</v>
      </c>
      <c r="I21" s="3">
        <v>5.8112723138961202E-2</v>
      </c>
      <c r="J21" s="3">
        <v>5.0628232256232697E-2</v>
      </c>
      <c r="K21" s="6">
        <v>5.9728936591852799E-2</v>
      </c>
      <c r="L21" s="6">
        <v>5.3743373274678999E-2</v>
      </c>
      <c r="M21" s="6">
        <v>6.1200177937807299E-2</v>
      </c>
      <c r="N21" s="3">
        <v>3.7924762486723503E-2</v>
      </c>
      <c r="O21" s="3">
        <v>7.7205902405853996E-2</v>
      </c>
      <c r="P21" s="3">
        <v>6.4431169271917096E-2</v>
      </c>
      <c r="Q21" s="37">
        <f t="shared" si="0"/>
        <v>6.7009518412035132E-2</v>
      </c>
    </row>
    <row r="22" spans="1:17" x14ac:dyDescent="0.35">
      <c r="A22" s="16">
        <v>3003</v>
      </c>
      <c r="B22" s="3">
        <v>7.3216272104623198E-2</v>
      </c>
      <c r="C22" s="3">
        <v>9.1183659369261497E-2</v>
      </c>
      <c r="D22" s="3">
        <v>7.4541251484943102E-2</v>
      </c>
      <c r="E22" s="6">
        <v>0.15080094900027999</v>
      </c>
      <c r="F22" s="6">
        <v>0.102902221244211</v>
      </c>
      <c r="G22" s="6">
        <v>7.7959526863991394E-2</v>
      </c>
      <c r="H22" s="3">
        <v>0.103678693748729</v>
      </c>
      <c r="I22" s="3">
        <v>8.3426757737693299E-2</v>
      </c>
      <c r="J22" s="3">
        <v>5.5749727834361697E-2</v>
      </c>
      <c r="K22" s="6">
        <v>8.0297760601946905E-2</v>
      </c>
      <c r="L22" s="6">
        <v>0.14592564418005599</v>
      </c>
      <c r="M22" s="6">
        <v>8.0678439405744304E-2</v>
      </c>
      <c r="N22" s="3">
        <v>8.1095795580910998E-2</v>
      </c>
      <c r="O22" s="3">
        <v>9.3612287377366099E-2</v>
      </c>
      <c r="P22" s="3">
        <v>0.1012570697001</v>
      </c>
      <c r="Q22" s="37">
        <f t="shared" si="0"/>
        <v>9.3088403748947904E-2</v>
      </c>
    </row>
    <row r="23" spans="1:17" x14ac:dyDescent="0.35">
      <c r="A23" s="16">
        <v>3004</v>
      </c>
      <c r="B23" s="3">
        <v>7.6247284496066395E-2</v>
      </c>
      <c r="C23" s="3">
        <v>7.0749730967078206E-2</v>
      </c>
      <c r="D23" s="3">
        <v>0.11499027904604101</v>
      </c>
      <c r="E23" s="6">
        <v>0.14926214053609799</v>
      </c>
      <c r="F23" s="6">
        <v>9.9509436132697096E-2</v>
      </c>
      <c r="G23" s="6">
        <v>7.6348875173488595E-2</v>
      </c>
      <c r="H23" s="3">
        <v>0.13802928813239401</v>
      </c>
      <c r="I23" s="3">
        <v>0.13303443401868201</v>
      </c>
      <c r="J23" s="3">
        <v>0.12643153595114601</v>
      </c>
      <c r="K23" s="6">
        <v>0.10672174371502199</v>
      </c>
      <c r="L23" s="6">
        <v>0.12830593320474601</v>
      </c>
      <c r="M23" s="6">
        <v>0.14436751944119799</v>
      </c>
      <c r="N23" s="3">
        <v>0.14898523391183599</v>
      </c>
      <c r="O23" s="3">
        <v>0.135249212869645</v>
      </c>
      <c r="P23" s="3">
        <v>0.10770779879582</v>
      </c>
      <c r="Q23" s="37">
        <f t="shared" si="0"/>
        <v>0.11706269642613056</v>
      </c>
    </row>
    <row r="24" spans="1:17" x14ac:dyDescent="0.35">
      <c r="A24" s="16">
        <v>3006</v>
      </c>
      <c r="B24" s="3">
        <v>0.102159779900992</v>
      </c>
      <c r="C24" s="3">
        <v>7.3796821960741193E-2</v>
      </c>
      <c r="D24" s="3">
        <v>0.106449045745887</v>
      </c>
      <c r="E24" s="6">
        <v>0.100796910142245</v>
      </c>
      <c r="F24" s="6">
        <v>9.9161651035902604E-2</v>
      </c>
      <c r="G24" s="6">
        <v>7.9893895363407699E-2</v>
      </c>
      <c r="H24" s="3">
        <v>6.3541171576387001E-2</v>
      </c>
      <c r="I24" s="3">
        <v>0.145220917529536</v>
      </c>
      <c r="J24" s="3">
        <v>8.5536089222832304E-2</v>
      </c>
      <c r="K24" s="6">
        <v>8.3400340119945598E-2</v>
      </c>
      <c r="L24" s="6">
        <v>7.0824771453621496E-2</v>
      </c>
      <c r="M24" s="6">
        <v>5.76592927188685E-2</v>
      </c>
      <c r="N24" s="3">
        <v>7.1676266769307204E-2</v>
      </c>
      <c r="O24" s="3">
        <v>0.111595883453453</v>
      </c>
      <c r="P24" s="3">
        <v>0.11142254852509401</v>
      </c>
      <c r="Q24" s="37">
        <f t="shared" si="0"/>
        <v>9.0875692367881372E-2</v>
      </c>
    </row>
    <row r="25" spans="1:17" x14ac:dyDescent="0.35">
      <c r="A25" s="16">
        <v>3007</v>
      </c>
      <c r="B25" s="3">
        <v>0.13916143202220199</v>
      </c>
      <c r="C25" s="3">
        <v>0.137004265752633</v>
      </c>
      <c r="D25" s="3">
        <v>0.16056988341226</v>
      </c>
      <c r="E25" s="6">
        <v>0.17557394025225001</v>
      </c>
      <c r="F25" s="6">
        <v>0.10841885616017299</v>
      </c>
      <c r="G25" s="6">
        <v>6.6240559199936502E-2</v>
      </c>
      <c r="H25" s="3">
        <v>0.155166954932308</v>
      </c>
      <c r="I25" s="3">
        <v>9.5163653763130407E-2</v>
      </c>
      <c r="J25" s="3">
        <v>0.172095363448454</v>
      </c>
      <c r="K25" s="6">
        <v>0.196606092550206</v>
      </c>
      <c r="L25" s="6">
        <v>6.0587350294357703E-2</v>
      </c>
      <c r="M25" s="6">
        <v>0.10065159087004601</v>
      </c>
      <c r="N25" s="3">
        <v>0.19505279164700101</v>
      </c>
      <c r="O25" s="3">
        <v>7.8479953917572398E-2</v>
      </c>
      <c r="P25" s="3">
        <v>0.17257109478059399</v>
      </c>
      <c r="Q25" s="37">
        <f t="shared" si="0"/>
        <v>0.13422291886687493</v>
      </c>
    </row>
    <row r="26" spans="1:17" x14ac:dyDescent="0.35">
      <c r="A26" s="16">
        <v>3008</v>
      </c>
      <c r="B26" s="3">
        <v>0.12065576667795801</v>
      </c>
      <c r="C26" s="3">
        <v>0.167416997949493</v>
      </c>
      <c r="D26" s="3">
        <v>0.110561468288492</v>
      </c>
      <c r="E26" s="6">
        <v>0.107404529314928</v>
      </c>
      <c r="F26" s="6">
        <v>8.6459837309046203E-2</v>
      </c>
      <c r="G26" s="6">
        <v>0.110696440392582</v>
      </c>
      <c r="H26" s="3">
        <v>0.12790375106006699</v>
      </c>
      <c r="I26" s="3">
        <v>0.10967483874055101</v>
      </c>
      <c r="J26" s="3">
        <v>0.111929370671809</v>
      </c>
      <c r="K26" s="6">
        <v>0.13715372351034999</v>
      </c>
      <c r="L26" s="6">
        <v>7.1867704166811E-2</v>
      </c>
      <c r="M26" s="6">
        <v>0.12952072503968301</v>
      </c>
      <c r="N26" s="3">
        <v>0.15870878767556701</v>
      </c>
      <c r="O26" s="3">
        <v>0.157532532433245</v>
      </c>
      <c r="P26" s="3">
        <v>0.20532908516766901</v>
      </c>
      <c r="Q26" s="37">
        <f t="shared" si="0"/>
        <v>0.12752103722655009</v>
      </c>
    </row>
    <row r="27" spans="1:17" x14ac:dyDescent="0.35">
      <c r="A27" s="16">
        <v>3009</v>
      </c>
      <c r="B27" s="3">
        <v>7.9999566588267401E-2</v>
      </c>
      <c r="C27" s="3">
        <v>0.11952390684009601</v>
      </c>
      <c r="D27" s="3">
        <v>7.0851093206079893E-2</v>
      </c>
      <c r="E27" s="6">
        <v>0.108245202385866</v>
      </c>
      <c r="F27" s="6">
        <v>0.11403930547766999</v>
      </c>
      <c r="G27" s="6">
        <v>0.176184818643916</v>
      </c>
      <c r="H27" s="3">
        <v>7.4959701615696706E-2</v>
      </c>
      <c r="I27" s="3">
        <v>8.94186181444242E-2</v>
      </c>
      <c r="J27" s="3">
        <v>0.14843095776513399</v>
      </c>
      <c r="K27" s="6">
        <v>0.143639505763383</v>
      </c>
      <c r="L27" s="6">
        <v>9.7284233519523797E-2</v>
      </c>
      <c r="M27" s="6">
        <v>9.94601486712898E-2</v>
      </c>
      <c r="N27" s="3">
        <v>0.11219542422885</v>
      </c>
      <c r="O27" s="3">
        <v>0.10748254087998101</v>
      </c>
      <c r="P27" s="3">
        <v>8.9284092199687595E-2</v>
      </c>
      <c r="Q27" s="37">
        <f t="shared" si="0"/>
        <v>0.10873327439532439</v>
      </c>
    </row>
    <row r="28" spans="1:17" x14ac:dyDescent="0.35">
      <c r="A28" s="16">
        <v>3010</v>
      </c>
      <c r="B28" s="3">
        <v>0.30651691594455999</v>
      </c>
      <c r="C28" s="3">
        <v>0.20978356999388501</v>
      </c>
      <c r="D28" s="3">
        <v>0.114187203599148</v>
      </c>
      <c r="E28" s="6">
        <v>0.175681707252831</v>
      </c>
      <c r="F28" s="6">
        <v>0.16167811090806</v>
      </c>
      <c r="G28" s="6">
        <v>0.11797792202256301</v>
      </c>
      <c r="H28" s="3">
        <v>0.23123560950920499</v>
      </c>
      <c r="I28" s="3">
        <v>0.156673532578571</v>
      </c>
      <c r="J28" s="3">
        <v>0.13611242794800199</v>
      </c>
      <c r="K28" s="6">
        <v>0.32518517652718498</v>
      </c>
      <c r="L28" s="6">
        <v>0.169871893984853</v>
      </c>
      <c r="M28" s="6">
        <v>0.189876594037615</v>
      </c>
      <c r="N28" s="3">
        <v>0.12907422631460599</v>
      </c>
      <c r="O28" s="3">
        <v>0.19648550887138</v>
      </c>
      <c r="P28" s="3">
        <v>0.117624862988229</v>
      </c>
      <c r="Q28" s="37">
        <f t="shared" si="0"/>
        <v>0.18253101749871287</v>
      </c>
    </row>
    <row r="29" spans="1:17" x14ac:dyDescent="0.35">
      <c r="A29" s="16">
        <v>3011</v>
      </c>
      <c r="B29" s="3">
        <v>6.9406769694761797E-2</v>
      </c>
      <c r="C29" s="3">
        <v>8.6967926779096497E-2</v>
      </c>
      <c r="D29" s="3">
        <v>8.7471035309813802E-2</v>
      </c>
      <c r="E29" s="6">
        <v>6.8756015428153794E-2</v>
      </c>
      <c r="F29" s="6">
        <v>6.3487188214927798E-2</v>
      </c>
      <c r="G29" s="6">
        <v>0.109502659328425</v>
      </c>
      <c r="H29" s="3">
        <v>9.5460933613359999E-2</v>
      </c>
      <c r="I29" s="3">
        <v>9.9990100186466396E-2</v>
      </c>
      <c r="J29" s="3">
        <v>6.3695049883967403E-2</v>
      </c>
      <c r="K29" s="6">
        <v>0.102821719242707</v>
      </c>
      <c r="L29" s="6">
        <v>9.5529153305161596E-2</v>
      </c>
      <c r="M29" s="6">
        <v>7.2825494959190495E-2</v>
      </c>
      <c r="N29" s="3">
        <v>7.2272617312722304E-2</v>
      </c>
      <c r="O29" s="3">
        <v>0.112084818402881</v>
      </c>
      <c r="P29" s="3">
        <v>6.4597880377056702E-2</v>
      </c>
      <c r="Q29" s="37">
        <f t="shared" si="0"/>
        <v>8.4324624135912782E-2</v>
      </c>
    </row>
    <row r="30" spans="1:17" x14ac:dyDescent="0.35">
      <c r="A30" s="16">
        <v>3012</v>
      </c>
      <c r="B30" s="3">
        <v>0.17384486941482999</v>
      </c>
      <c r="C30" s="3">
        <v>8.8414782198091499E-2</v>
      </c>
      <c r="D30" s="3">
        <v>7.7795069475033493E-2</v>
      </c>
      <c r="E30" s="6">
        <v>0.116222766303043</v>
      </c>
      <c r="F30" s="6">
        <v>0.19124108503342399</v>
      </c>
      <c r="G30" s="6">
        <v>8.24346733616063E-2</v>
      </c>
      <c r="H30" s="3">
        <v>0.114876851513956</v>
      </c>
      <c r="I30" s="3">
        <v>9.3701279503719398E-2</v>
      </c>
      <c r="J30" s="3">
        <v>0.13278764387602601</v>
      </c>
      <c r="K30" s="6">
        <v>0.191796691609806</v>
      </c>
      <c r="L30" s="6">
        <v>0.13965842937703701</v>
      </c>
      <c r="M30" s="6">
        <v>0.14958683075971699</v>
      </c>
      <c r="N30" s="3">
        <v>0.18001478524971701</v>
      </c>
      <c r="O30" s="3">
        <v>0.16096301246504099</v>
      </c>
      <c r="P30" s="3">
        <v>0.16411251125201501</v>
      </c>
      <c r="Q30" s="37">
        <f t="shared" si="0"/>
        <v>0.1371634187595375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F7B79-61EF-45AA-A849-9732311A2119}">
  <dimension ref="A1:R30"/>
  <sheetViews>
    <sheetView workbookViewId="0">
      <selection activeCell="R3" sqref="R3"/>
    </sheetView>
  </sheetViews>
  <sheetFormatPr defaultRowHeight="14.5" x14ac:dyDescent="0.35"/>
  <cols>
    <col min="1" max="1" width="10.453125" style="16" customWidth="1"/>
    <col min="17" max="17" width="15.81640625" style="19" customWidth="1"/>
    <col min="18" max="18" width="16.54296875" customWidth="1"/>
  </cols>
  <sheetData>
    <row r="1" spans="1:18" x14ac:dyDescent="0.35">
      <c r="A1" s="35" t="s">
        <v>0</v>
      </c>
      <c r="B1" s="7" t="s">
        <v>57</v>
      </c>
      <c r="C1" s="7" t="s">
        <v>57</v>
      </c>
      <c r="D1" s="7" t="s">
        <v>57</v>
      </c>
      <c r="E1" s="9" t="s">
        <v>58</v>
      </c>
      <c r="F1" s="9" t="s">
        <v>58</v>
      </c>
      <c r="G1" s="9" t="s">
        <v>58</v>
      </c>
      <c r="H1" s="7" t="s">
        <v>59</v>
      </c>
      <c r="I1" s="7" t="s">
        <v>59</v>
      </c>
      <c r="J1" s="7" t="s">
        <v>59</v>
      </c>
      <c r="K1" s="9" t="s">
        <v>60</v>
      </c>
      <c r="L1" s="9" t="s">
        <v>60</v>
      </c>
      <c r="M1" s="9" t="s">
        <v>60</v>
      </c>
      <c r="N1" s="7" t="s">
        <v>61</v>
      </c>
      <c r="O1" s="7" t="s">
        <v>61</v>
      </c>
      <c r="P1" s="7" t="s">
        <v>61</v>
      </c>
      <c r="Q1" s="36" t="s">
        <v>51</v>
      </c>
      <c r="R1" s="1" t="s">
        <v>39</v>
      </c>
    </row>
    <row r="2" spans="1:18" x14ac:dyDescent="0.35">
      <c r="A2" s="16">
        <v>1001</v>
      </c>
      <c r="B2" s="6">
        <v>0.122077077672172</v>
      </c>
      <c r="C2" s="6">
        <v>0.15330665610497901</v>
      </c>
      <c r="D2" s="6">
        <v>9.0786048426265295E-2</v>
      </c>
      <c r="E2" s="3">
        <v>0.17023804134472501</v>
      </c>
      <c r="F2" s="3">
        <v>0.243670150098349</v>
      </c>
      <c r="G2" s="3">
        <v>0.29240265343187799</v>
      </c>
      <c r="H2" s="6">
        <v>0.139177264458552</v>
      </c>
      <c r="I2" s="6">
        <v>0.100671708605213</v>
      </c>
      <c r="J2" s="6">
        <v>5.7720277735274599E-2</v>
      </c>
      <c r="K2" s="3">
        <v>0.18588637698819499</v>
      </c>
      <c r="L2" s="3">
        <v>9.1727168503982007E-2</v>
      </c>
      <c r="M2" s="3">
        <v>7.6969402012002197E-2</v>
      </c>
      <c r="N2" s="6">
        <v>0.19188845528029499</v>
      </c>
      <c r="O2" s="6">
        <v>8.0525615222686905E-2</v>
      </c>
      <c r="P2" s="6">
        <v>0.104928913151817</v>
      </c>
      <c r="Q2" s="37">
        <f>AVERAGE(B2:P2)</f>
        <v>0.14013172060242576</v>
      </c>
      <c r="R2">
        <f>AVERAGE(Q2:Q30)</f>
        <v>0.14064851907462975</v>
      </c>
    </row>
    <row r="3" spans="1:18" x14ac:dyDescent="0.35">
      <c r="A3" s="16">
        <v>1002</v>
      </c>
      <c r="B3" s="6">
        <v>0.24773734010847301</v>
      </c>
      <c r="C3" s="6">
        <v>0.118641227192875</v>
      </c>
      <c r="D3" s="6">
        <v>0.11511309801061601</v>
      </c>
      <c r="E3" s="3">
        <v>0.117945247587513</v>
      </c>
      <c r="F3" s="3">
        <v>0.128613793019759</v>
      </c>
      <c r="G3" s="3">
        <v>0.16269169740966999</v>
      </c>
      <c r="H3" s="6">
        <v>0.13419694843991001</v>
      </c>
      <c r="I3" s="6">
        <v>0.14826458859227701</v>
      </c>
      <c r="J3" s="6">
        <v>8.3278541424643707E-2</v>
      </c>
      <c r="K3" s="3">
        <v>6.1964891700669697E-2</v>
      </c>
      <c r="L3" s="3">
        <v>0.147848207680399</v>
      </c>
      <c r="M3" s="3">
        <v>0.109888970620883</v>
      </c>
      <c r="N3" s="6">
        <v>0.15677003949948301</v>
      </c>
      <c r="O3" s="6">
        <v>9.10251894746711E-2</v>
      </c>
      <c r="P3" s="6">
        <v>0.264109775434761</v>
      </c>
      <c r="Q3" s="37">
        <f t="shared" ref="Q3:Q30" si="0">AVERAGE(B3:P3)</f>
        <v>0.13920597041310689</v>
      </c>
    </row>
    <row r="4" spans="1:18" x14ac:dyDescent="0.35">
      <c r="A4" s="16">
        <v>1003</v>
      </c>
      <c r="B4" s="6">
        <v>0.17172811134994301</v>
      </c>
      <c r="C4" s="6">
        <v>7.5166296466266699E-2</v>
      </c>
      <c r="D4" s="6">
        <v>9.04326821688788E-2</v>
      </c>
      <c r="E4" s="3">
        <v>0.16432345051201</v>
      </c>
      <c r="F4" s="3">
        <v>0.117257928875225</v>
      </c>
      <c r="G4" s="3">
        <v>0.118560859785226</v>
      </c>
      <c r="H4" s="6">
        <v>7.9133295288142905E-2</v>
      </c>
      <c r="I4" s="6">
        <v>0.10659919111394001</v>
      </c>
      <c r="J4" s="6">
        <v>0.116044657157688</v>
      </c>
      <c r="K4" s="3">
        <v>0.18988393624015801</v>
      </c>
      <c r="L4" s="3">
        <v>9.0287917882868704E-2</v>
      </c>
      <c r="M4" s="3">
        <v>0.11532710102957899</v>
      </c>
      <c r="N4" s="6">
        <v>8.1121083666857094E-2</v>
      </c>
      <c r="O4" s="6">
        <v>0.15431908366535099</v>
      </c>
      <c r="P4" s="6">
        <v>0.128320905653654</v>
      </c>
      <c r="Q4" s="37">
        <f t="shared" si="0"/>
        <v>0.11990043339038588</v>
      </c>
    </row>
    <row r="5" spans="1:18" x14ac:dyDescent="0.35">
      <c r="A5" s="16">
        <v>1004</v>
      </c>
      <c r="B5" s="6">
        <v>7.8313938944986894E-2</v>
      </c>
      <c r="C5" s="6">
        <v>0.12563980581463599</v>
      </c>
      <c r="D5" s="6">
        <v>0.202115076186244</v>
      </c>
      <c r="E5" s="3">
        <v>0.12517278384413599</v>
      </c>
      <c r="F5" s="3">
        <v>0.14769457620041501</v>
      </c>
      <c r="G5" s="3">
        <v>0.17439203197054901</v>
      </c>
      <c r="H5" s="6">
        <v>0.12507897872571699</v>
      </c>
      <c r="I5" s="6">
        <v>0.142790212556207</v>
      </c>
      <c r="J5" s="6">
        <v>8.2188697701381E-2</v>
      </c>
      <c r="K5" s="3">
        <v>0.119943815298882</v>
      </c>
      <c r="L5" s="3">
        <v>0.124659612770238</v>
      </c>
      <c r="M5" s="3">
        <v>0.11283936871455599</v>
      </c>
      <c r="N5" s="6">
        <v>0.11740760701601199</v>
      </c>
      <c r="O5" s="6">
        <v>8.7414527747744095E-2</v>
      </c>
      <c r="P5" s="6">
        <v>0.14627686617028399</v>
      </c>
      <c r="Q5" s="37">
        <f t="shared" si="0"/>
        <v>0.12746185997746587</v>
      </c>
    </row>
    <row r="6" spans="1:18" x14ac:dyDescent="0.35">
      <c r="A6" s="16">
        <v>1005</v>
      </c>
      <c r="B6" s="6">
        <v>0.18292921829721501</v>
      </c>
      <c r="C6" s="6">
        <v>0.105676403996689</v>
      </c>
      <c r="D6" s="6">
        <v>0.183017762462344</v>
      </c>
      <c r="E6" s="3">
        <v>6.7827357136347299E-2</v>
      </c>
      <c r="F6" s="3">
        <v>0.14082247224024599</v>
      </c>
      <c r="G6" s="3">
        <v>0.17427630746377801</v>
      </c>
      <c r="H6" s="6">
        <v>0.182288415532008</v>
      </c>
      <c r="I6" s="6">
        <v>0.13427895617969701</v>
      </c>
      <c r="J6" s="6">
        <v>0.20457618743408401</v>
      </c>
      <c r="K6" s="3">
        <v>0.154477213625761</v>
      </c>
      <c r="L6" s="3">
        <v>0.16222303599889301</v>
      </c>
      <c r="M6" s="3">
        <v>0.161093130345703</v>
      </c>
      <c r="N6" s="6">
        <v>0.1414481867648</v>
      </c>
      <c r="O6" s="6">
        <v>0.14016307302766901</v>
      </c>
      <c r="P6" s="6">
        <v>0.21985351553700599</v>
      </c>
      <c r="Q6" s="37">
        <f t="shared" si="0"/>
        <v>0.15699674906948272</v>
      </c>
    </row>
    <row r="7" spans="1:18" x14ac:dyDescent="0.35">
      <c r="A7" s="16">
        <v>1006</v>
      </c>
      <c r="B7" s="6">
        <v>0.117398116985277</v>
      </c>
      <c r="C7" s="6">
        <v>0.11250103560642299</v>
      </c>
      <c r="D7" s="6">
        <v>8.3814393400495998E-2</v>
      </c>
      <c r="E7" s="3">
        <v>7.2538123683671102E-2</v>
      </c>
      <c r="F7" s="3">
        <v>8.6090451205877799E-2</v>
      </c>
      <c r="G7" s="3">
        <v>9.6915219324959098E-2</v>
      </c>
      <c r="H7" s="6">
        <v>0.19808597353447999</v>
      </c>
      <c r="I7" s="6">
        <v>0.10000529493435301</v>
      </c>
      <c r="J7" s="6">
        <v>8.8945408403940898E-2</v>
      </c>
      <c r="K7" s="3">
        <v>0.154088105280999</v>
      </c>
      <c r="L7" s="3">
        <v>0.10011146037474999</v>
      </c>
      <c r="M7" s="3">
        <v>8.8543393157657996E-2</v>
      </c>
      <c r="N7" s="6">
        <v>0.11398820858294501</v>
      </c>
      <c r="O7" s="6">
        <v>0.119802923789742</v>
      </c>
      <c r="P7" s="6">
        <v>0.12720621799821</v>
      </c>
      <c r="Q7" s="37">
        <f t="shared" si="0"/>
        <v>0.11066895508425213</v>
      </c>
    </row>
    <row r="8" spans="1:18" x14ac:dyDescent="0.35">
      <c r="A8" s="16">
        <v>1009</v>
      </c>
      <c r="B8" s="6">
        <v>0.19103323078446</v>
      </c>
      <c r="C8" s="6">
        <v>0.17972841643925999</v>
      </c>
      <c r="D8" s="6">
        <v>0.195268986932123</v>
      </c>
      <c r="E8" s="3">
        <v>0.203080800818321</v>
      </c>
      <c r="F8" s="3">
        <v>0.12807827615699499</v>
      </c>
      <c r="G8" s="3">
        <v>0.102064872693108</v>
      </c>
      <c r="H8" s="6">
        <v>0.130527727359292</v>
      </c>
      <c r="I8" s="6">
        <v>0.14074340048304901</v>
      </c>
      <c r="J8" s="6">
        <v>0.16598113785013699</v>
      </c>
      <c r="K8" s="3">
        <v>0.16583619473028399</v>
      </c>
      <c r="L8" s="3">
        <v>0.111345689212498</v>
      </c>
      <c r="M8" s="3">
        <v>0.11885010435137799</v>
      </c>
      <c r="N8" s="6">
        <v>0.159492540007697</v>
      </c>
      <c r="O8" s="6">
        <v>0.1452375596794</v>
      </c>
      <c r="P8" s="6">
        <v>0.15693913890650299</v>
      </c>
      <c r="Q8" s="37">
        <f t="shared" si="0"/>
        <v>0.15294720509363369</v>
      </c>
    </row>
    <row r="9" spans="1:18" x14ac:dyDescent="0.35">
      <c r="A9" s="16">
        <v>2001</v>
      </c>
      <c r="B9" s="6">
        <v>0.17228719511759599</v>
      </c>
      <c r="C9" s="6">
        <v>0.107252099971027</v>
      </c>
      <c r="D9" s="6">
        <v>0.182008736795743</v>
      </c>
      <c r="E9" s="3">
        <v>0.234295624691575</v>
      </c>
      <c r="F9" s="3">
        <v>0.14811395701442201</v>
      </c>
      <c r="G9" s="3">
        <v>0.25913772268269503</v>
      </c>
      <c r="H9" s="6">
        <v>9.5916470660729003E-2</v>
      </c>
      <c r="I9" s="6">
        <v>0.12883261041525501</v>
      </c>
      <c r="J9" s="6">
        <v>0.18027059674553</v>
      </c>
      <c r="K9" s="3">
        <v>0.12816056858536201</v>
      </c>
      <c r="L9" s="3">
        <v>0.16247591022677699</v>
      </c>
      <c r="M9" s="3">
        <v>0.11342807684002799</v>
      </c>
      <c r="N9" s="6">
        <v>0.121981248035589</v>
      </c>
      <c r="O9" s="6">
        <v>0.19602195377266099</v>
      </c>
      <c r="P9" s="6">
        <v>0.12427584456087699</v>
      </c>
      <c r="Q9" s="37">
        <f t="shared" si="0"/>
        <v>0.15696390774105773</v>
      </c>
    </row>
    <row r="10" spans="1:18" x14ac:dyDescent="0.35">
      <c r="A10" s="16">
        <v>2002</v>
      </c>
      <c r="B10" s="6">
        <v>0.106879932175707</v>
      </c>
      <c r="C10" s="6">
        <v>9.6847889340123103E-2</v>
      </c>
      <c r="D10" s="6">
        <v>8.7054450713950196E-2</v>
      </c>
      <c r="E10" s="3">
        <v>0.120112528257535</v>
      </c>
      <c r="F10" s="3">
        <v>7.9464875954872102E-2</v>
      </c>
      <c r="G10" s="3">
        <v>7.0906771445836E-2</v>
      </c>
      <c r="H10" s="6">
        <v>0.13818146111656901</v>
      </c>
      <c r="I10" s="6">
        <v>6.7379646443369703E-2</v>
      </c>
      <c r="J10" s="6">
        <v>0.11137139832522901</v>
      </c>
      <c r="K10" s="3">
        <v>0.22403822461511999</v>
      </c>
      <c r="L10" s="3">
        <v>0.107245494405642</v>
      </c>
      <c r="M10" s="3">
        <v>6.6137759644913197E-2</v>
      </c>
      <c r="N10" s="6">
        <v>0.116026997919427</v>
      </c>
      <c r="O10" s="6">
        <v>9.1602864912272403E-2</v>
      </c>
      <c r="P10" s="6">
        <v>0.132016637966129</v>
      </c>
      <c r="Q10" s="37">
        <f t="shared" si="0"/>
        <v>0.10768446221577967</v>
      </c>
    </row>
    <row r="11" spans="1:18" x14ac:dyDescent="0.35">
      <c r="A11" s="16">
        <v>2004</v>
      </c>
      <c r="B11" s="6">
        <v>0.11465288405716199</v>
      </c>
      <c r="C11" s="6">
        <v>0.30316057990272999</v>
      </c>
      <c r="D11" s="6">
        <v>0.137873953320963</v>
      </c>
      <c r="E11" s="3">
        <v>0.17244175119136701</v>
      </c>
      <c r="F11" s="3">
        <v>0.154187037871482</v>
      </c>
      <c r="G11" s="3">
        <v>0.180928504899982</v>
      </c>
      <c r="H11" s="6">
        <v>0.197766341024667</v>
      </c>
      <c r="I11" s="6">
        <v>0.17768418671941399</v>
      </c>
      <c r="J11" s="6">
        <v>0.18023685134628101</v>
      </c>
      <c r="K11" s="3">
        <v>9.9553719037570501E-2</v>
      </c>
      <c r="L11" s="3">
        <v>0.154964926709066</v>
      </c>
      <c r="M11" s="3">
        <v>0.144326844309489</v>
      </c>
      <c r="N11" s="6">
        <v>0.193864178865473</v>
      </c>
      <c r="O11" s="6">
        <v>0.12898151873886499</v>
      </c>
      <c r="P11" s="6">
        <v>0.144761775102449</v>
      </c>
      <c r="Q11" s="37">
        <f t="shared" si="0"/>
        <v>0.1656923368731307</v>
      </c>
    </row>
    <row r="12" spans="1:18" x14ac:dyDescent="0.35">
      <c r="A12" s="16">
        <v>2005</v>
      </c>
      <c r="B12" s="6">
        <v>0.22824959721440899</v>
      </c>
      <c r="C12" s="6">
        <v>0.13629280087128601</v>
      </c>
      <c r="D12" s="6">
        <v>0.154058904507266</v>
      </c>
      <c r="E12" s="3">
        <v>8.6616932070084501E-2</v>
      </c>
      <c r="F12" s="3">
        <v>0.26569687899323802</v>
      </c>
      <c r="G12" s="3">
        <v>0.196948762749173</v>
      </c>
      <c r="H12" s="6">
        <v>0.113692171664278</v>
      </c>
      <c r="I12" s="6">
        <v>0.17307411143196999</v>
      </c>
      <c r="J12" s="6">
        <v>0.22341747982762</v>
      </c>
      <c r="K12" s="3">
        <v>0.184370174588256</v>
      </c>
      <c r="L12" s="3">
        <v>0.144933359072206</v>
      </c>
      <c r="M12" s="3">
        <v>0.283936034749105</v>
      </c>
      <c r="N12" s="6">
        <v>0.13321389877894199</v>
      </c>
      <c r="O12" s="6">
        <v>0.12885110741710101</v>
      </c>
      <c r="P12" s="6">
        <v>0.16913836976226099</v>
      </c>
      <c r="Q12" s="37">
        <f t="shared" si="0"/>
        <v>0.17483270557981304</v>
      </c>
    </row>
    <row r="13" spans="1:18" x14ac:dyDescent="0.35">
      <c r="A13" s="16">
        <v>2006</v>
      </c>
      <c r="B13" s="6">
        <v>9.1859183373490999E-2</v>
      </c>
      <c r="C13" s="6">
        <v>8.0146775512190196E-2</v>
      </c>
      <c r="D13" s="6">
        <v>0.23375953847517</v>
      </c>
      <c r="E13" s="3">
        <v>0.11302531732106399</v>
      </c>
      <c r="F13" s="3">
        <v>0.13022483162558199</v>
      </c>
      <c r="G13" s="3">
        <v>9.3832432122542206E-2</v>
      </c>
      <c r="H13" s="6">
        <v>0.115293713172922</v>
      </c>
      <c r="I13" s="6">
        <v>7.4775519462371098E-2</v>
      </c>
      <c r="J13" s="6">
        <v>0.21743365021556399</v>
      </c>
      <c r="K13" s="3">
        <v>0.143284246338995</v>
      </c>
      <c r="L13" s="3">
        <v>9.8473982669726096E-2</v>
      </c>
      <c r="M13" s="3">
        <v>9.5538952533530397E-2</v>
      </c>
      <c r="N13" s="6">
        <v>7.6577980624252404E-2</v>
      </c>
      <c r="O13" s="6">
        <v>0.114049475142301</v>
      </c>
      <c r="P13" s="6">
        <v>8.0821216779021404E-2</v>
      </c>
      <c r="Q13" s="37">
        <f t="shared" si="0"/>
        <v>0.11727312102458151</v>
      </c>
    </row>
    <row r="14" spans="1:18" x14ac:dyDescent="0.35">
      <c r="A14" s="16">
        <v>2007</v>
      </c>
      <c r="B14" s="6">
        <v>9.9200188786230201E-2</v>
      </c>
      <c r="C14" s="6">
        <v>0.107833672027304</v>
      </c>
      <c r="D14" s="6">
        <v>0.167432756907193</v>
      </c>
      <c r="E14" s="3">
        <v>0.175988328410151</v>
      </c>
      <c r="F14" s="3">
        <v>0.160201464024883</v>
      </c>
      <c r="G14" s="3">
        <v>0.250179230819354</v>
      </c>
      <c r="H14" s="6">
        <v>0.16776880998067101</v>
      </c>
      <c r="I14" s="6">
        <v>0.164300008569601</v>
      </c>
      <c r="J14" s="6">
        <v>0.239447106609183</v>
      </c>
      <c r="K14" s="3">
        <v>0.123056329559112</v>
      </c>
      <c r="L14" s="3">
        <v>0.17915493441888999</v>
      </c>
      <c r="M14" s="3">
        <v>9.3334724252781998E-2</v>
      </c>
      <c r="N14" s="6">
        <v>9.0369694427428496E-2</v>
      </c>
      <c r="O14" s="6">
        <v>0.16367561900240801</v>
      </c>
      <c r="P14" s="6">
        <v>0.160510429846349</v>
      </c>
      <c r="Q14" s="37">
        <f t="shared" si="0"/>
        <v>0.15616355317610264</v>
      </c>
    </row>
    <row r="15" spans="1:18" x14ac:dyDescent="0.35">
      <c r="A15" s="16">
        <v>2008</v>
      </c>
      <c r="B15" s="6">
        <v>0.20826302360242099</v>
      </c>
      <c r="C15" s="6">
        <v>0.424718241337038</v>
      </c>
      <c r="D15" s="6">
        <v>0.31782150605932402</v>
      </c>
      <c r="E15" s="3">
        <v>0.224405215251749</v>
      </c>
      <c r="F15" s="3">
        <v>0.30315120424683401</v>
      </c>
      <c r="G15" s="3">
        <v>0.24114497656265099</v>
      </c>
      <c r="H15" s="6">
        <v>0.42836587628753398</v>
      </c>
      <c r="I15" s="6">
        <v>0.120966334720454</v>
      </c>
      <c r="J15" s="6">
        <v>0.28632053225475101</v>
      </c>
      <c r="K15" s="3">
        <v>0.351918182824349</v>
      </c>
      <c r="L15" s="3">
        <v>0.30026500137295797</v>
      </c>
      <c r="M15" s="3">
        <v>0.62730192874128898</v>
      </c>
      <c r="N15" s="6">
        <v>0.354153864994732</v>
      </c>
      <c r="O15" s="6">
        <v>0.237475192572141</v>
      </c>
      <c r="P15" s="6">
        <v>0.30645276246289299</v>
      </c>
      <c r="Q15" s="37">
        <f t="shared" si="0"/>
        <v>0.31551492288607458</v>
      </c>
    </row>
    <row r="16" spans="1:18" x14ac:dyDescent="0.35">
      <c r="A16" s="16">
        <v>2009</v>
      </c>
      <c r="B16" s="6">
        <v>0.172567222711455</v>
      </c>
      <c r="C16" s="6">
        <v>0.174300393643044</v>
      </c>
      <c r="D16" s="6">
        <v>0.15026469912443399</v>
      </c>
      <c r="E16" s="3">
        <v>0.24137299474920301</v>
      </c>
      <c r="F16" s="3">
        <v>0.20483456562732999</v>
      </c>
      <c r="G16" s="3">
        <v>0.25156993495235902</v>
      </c>
      <c r="H16" s="6">
        <v>0.22435225234974401</v>
      </c>
      <c r="I16" s="6">
        <v>6.9351312899589901E-2</v>
      </c>
      <c r="J16" s="6">
        <v>0.21138456410506701</v>
      </c>
      <c r="K16" s="3">
        <v>0.19820792362869399</v>
      </c>
      <c r="L16" s="3">
        <v>0.23795001758579401</v>
      </c>
      <c r="M16" s="3">
        <v>0.13751389882911799</v>
      </c>
      <c r="N16" s="6">
        <v>0.212662654025745</v>
      </c>
      <c r="O16" s="6">
        <v>0.11544878302969</v>
      </c>
      <c r="P16" s="6">
        <v>0.135489366896134</v>
      </c>
      <c r="Q16" s="37">
        <f t="shared" si="0"/>
        <v>0.1824847056104934</v>
      </c>
    </row>
    <row r="17" spans="1:17" x14ac:dyDescent="0.35">
      <c r="A17" s="16">
        <v>2010</v>
      </c>
      <c r="B17" s="6">
        <v>0.126139359650382</v>
      </c>
      <c r="C17" s="6">
        <v>0.100720304092752</v>
      </c>
      <c r="D17" s="6">
        <v>0.126287531556319</v>
      </c>
      <c r="E17" s="3">
        <v>0.14833061210029</v>
      </c>
      <c r="F17" s="3">
        <v>0.25558547221303002</v>
      </c>
      <c r="G17" s="3">
        <v>0.16993028063034399</v>
      </c>
      <c r="H17" s="6">
        <v>0.13053411452414301</v>
      </c>
      <c r="I17" s="6">
        <v>0.293544220569537</v>
      </c>
      <c r="J17" s="6">
        <v>0.123694992074253</v>
      </c>
      <c r="K17" s="3">
        <v>0.15903183292902801</v>
      </c>
      <c r="L17" s="3">
        <v>0.18145875256050301</v>
      </c>
      <c r="M17" s="3">
        <v>0.16592023273557099</v>
      </c>
      <c r="N17" s="6">
        <v>0.14012753085754301</v>
      </c>
      <c r="O17" s="6">
        <v>7.6018827874736503E-2</v>
      </c>
      <c r="P17" s="6">
        <v>0.13033917902297301</v>
      </c>
      <c r="Q17" s="37">
        <f t="shared" si="0"/>
        <v>0.15517754955942697</v>
      </c>
    </row>
    <row r="18" spans="1:17" x14ac:dyDescent="0.35">
      <c r="A18" s="16">
        <v>2011</v>
      </c>
      <c r="B18" s="6">
        <v>9.5817440486716296E-2</v>
      </c>
      <c r="C18" s="6">
        <v>8.2724546713832794E-2</v>
      </c>
      <c r="D18" s="6">
        <v>8.6386497375394805E-2</v>
      </c>
      <c r="E18" s="3">
        <v>9.8611059968549894E-2</v>
      </c>
      <c r="F18" s="3">
        <v>0.123418214322239</v>
      </c>
      <c r="G18" s="3">
        <v>0.12257301930639999</v>
      </c>
      <c r="H18" s="6">
        <v>8.2616435988735804E-2</v>
      </c>
      <c r="I18" s="6">
        <v>0.15631942457501899</v>
      </c>
      <c r="J18" s="6">
        <v>0.122066379510092</v>
      </c>
      <c r="K18" s="3">
        <v>0.14997068644198999</v>
      </c>
      <c r="L18" s="3">
        <v>9.1471467984194907E-2</v>
      </c>
      <c r="M18" s="3">
        <v>9.8248408097050696E-2</v>
      </c>
      <c r="N18" s="6">
        <v>0.112368217615541</v>
      </c>
      <c r="O18" s="6">
        <v>0.11088070343884</v>
      </c>
      <c r="P18" s="6">
        <v>0.13220124148345699</v>
      </c>
      <c r="Q18" s="37">
        <f t="shared" si="0"/>
        <v>0.11104491622053687</v>
      </c>
    </row>
    <row r="19" spans="1:17" x14ac:dyDescent="0.35">
      <c r="A19" s="16">
        <v>2012</v>
      </c>
      <c r="B19" s="6">
        <v>0.11880108064310201</v>
      </c>
      <c r="C19" s="6">
        <v>0.10268447834773201</v>
      </c>
      <c r="D19" s="6">
        <v>0.15117478476413801</v>
      </c>
      <c r="E19" s="3">
        <v>7.0488844341902196E-2</v>
      </c>
      <c r="F19" s="3">
        <v>0.15660476259921</v>
      </c>
      <c r="G19" s="3">
        <v>0.15220390109555601</v>
      </c>
      <c r="H19" s="6">
        <v>6.7163177267829902E-2</v>
      </c>
      <c r="I19" s="6">
        <v>7.7487405337310494E-2</v>
      </c>
      <c r="J19" s="6">
        <v>8.5813661206151803E-2</v>
      </c>
      <c r="K19" s="3">
        <v>0.10646577351094499</v>
      </c>
      <c r="L19" s="3">
        <v>0.10241196766961599</v>
      </c>
      <c r="M19" s="3">
        <v>9.5444506634060899E-2</v>
      </c>
      <c r="N19" s="6">
        <v>0.104904193587812</v>
      </c>
      <c r="O19" s="6">
        <v>0.16140559534544099</v>
      </c>
      <c r="P19" s="6">
        <v>0.151572813309859</v>
      </c>
      <c r="Q19" s="37">
        <f t="shared" si="0"/>
        <v>0.11364179637737776</v>
      </c>
    </row>
    <row r="20" spans="1:17" x14ac:dyDescent="0.35">
      <c r="A20" s="16">
        <v>3001</v>
      </c>
      <c r="B20" s="6">
        <v>0.16376529933665801</v>
      </c>
      <c r="C20" s="6">
        <v>8.1499510483407298E-2</v>
      </c>
      <c r="D20" s="6">
        <v>6.6012609115879903E-2</v>
      </c>
      <c r="E20" s="3">
        <v>0.14815305422165201</v>
      </c>
      <c r="F20" s="3">
        <v>8.2643518710130995E-2</v>
      </c>
      <c r="G20" s="3">
        <v>9.8405439233729505E-2</v>
      </c>
      <c r="H20" s="6">
        <v>0.116610526163356</v>
      </c>
      <c r="I20" s="6">
        <v>0.107342217918275</v>
      </c>
      <c r="J20" s="6">
        <v>9.9796235980864303E-2</v>
      </c>
      <c r="K20" s="3">
        <v>0.146524872841447</v>
      </c>
      <c r="L20" s="3">
        <v>0.111266231787802</v>
      </c>
      <c r="M20" s="3">
        <v>0.19799914127923901</v>
      </c>
      <c r="N20" s="6">
        <v>0.18307231945100699</v>
      </c>
      <c r="O20" s="6">
        <v>0.12844989045126601</v>
      </c>
      <c r="P20" s="6">
        <v>0.13064338999216199</v>
      </c>
      <c r="Q20" s="37">
        <f t="shared" si="0"/>
        <v>0.12414561713112506</v>
      </c>
    </row>
    <row r="21" spans="1:17" x14ac:dyDescent="0.35">
      <c r="A21" s="16">
        <v>3002</v>
      </c>
      <c r="B21" s="6">
        <v>5.8855883014744301E-2</v>
      </c>
      <c r="C21" s="6">
        <v>5.4610762992274201E-2</v>
      </c>
      <c r="D21" s="6">
        <v>6.3662810884050999E-2</v>
      </c>
      <c r="E21" s="3">
        <v>8.7784969835148205E-2</v>
      </c>
      <c r="F21" s="3">
        <v>6.7816019999376198E-2</v>
      </c>
      <c r="G21" s="3">
        <v>8.0923110831442505E-2</v>
      </c>
      <c r="H21" s="6">
        <v>8.07148396904393E-2</v>
      </c>
      <c r="I21" s="6">
        <v>0.105417921089951</v>
      </c>
      <c r="J21" s="6">
        <v>5.4232978034448397E-2</v>
      </c>
      <c r="K21" s="3">
        <v>5.9171717769688603E-2</v>
      </c>
      <c r="L21" s="3">
        <v>7.5604956238672694E-2</v>
      </c>
      <c r="M21" s="3">
        <v>7.1975040038511406E-2</v>
      </c>
      <c r="N21" s="6">
        <v>3.9719887212236099E-2</v>
      </c>
      <c r="O21" s="6">
        <v>7.3778396205137806E-2</v>
      </c>
      <c r="P21" s="6">
        <v>5.5506364065212102E-2</v>
      </c>
      <c r="Q21" s="37">
        <f t="shared" si="0"/>
        <v>6.8651710526755588E-2</v>
      </c>
    </row>
    <row r="22" spans="1:17" x14ac:dyDescent="0.35">
      <c r="A22" s="16">
        <v>3003</v>
      </c>
      <c r="B22" s="6">
        <v>0.22496521972559</v>
      </c>
      <c r="C22" s="6">
        <v>9.5006509643783502E-2</v>
      </c>
      <c r="D22" s="6">
        <v>0.114988434486174</v>
      </c>
      <c r="E22" s="3">
        <v>0.25278467930007997</v>
      </c>
      <c r="F22" s="3">
        <v>6.9321723526221499E-2</v>
      </c>
      <c r="G22" s="3">
        <v>0.10598042746639701</v>
      </c>
      <c r="H22" s="6">
        <v>0.15609560081923701</v>
      </c>
      <c r="I22" s="6">
        <v>9.3703696508077305E-2</v>
      </c>
      <c r="J22" s="6">
        <v>9.3189125927986505E-2</v>
      </c>
      <c r="K22" s="3">
        <v>8.2331956467747699E-2</v>
      </c>
      <c r="L22" s="3">
        <v>8.6143684812378801E-2</v>
      </c>
      <c r="M22" s="3">
        <v>0.106291036219531</v>
      </c>
      <c r="N22" s="6">
        <v>0.17467319977248399</v>
      </c>
      <c r="O22" s="6">
        <v>0.111157179773324</v>
      </c>
      <c r="P22" s="6">
        <v>0.120416776388137</v>
      </c>
      <c r="Q22" s="37">
        <f t="shared" si="0"/>
        <v>0.12580328338914326</v>
      </c>
    </row>
    <row r="23" spans="1:17" x14ac:dyDescent="0.35">
      <c r="A23" s="16">
        <v>3004</v>
      </c>
      <c r="B23" s="6">
        <v>0.118043211523886</v>
      </c>
      <c r="C23" s="6">
        <v>0.114578648249024</v>
      </c>
      <c r="D23" s="6">
        <v>9.7726020593772195E-2</v>
      </c>
      <c r="E23" s="3">
        <v>9.1448406126088594E-2</v>
      </c>
      <c r="F23" s="3">
        <v>5.2157301903746497E-2</v>
      </c>
      <c r="G23" s="3">
        <v>0.10356470888291899</v>
      </c>
      <c r="H23" s="6">
        <v>0.106009915073211</v>
      </c>
      <c r="I23" s="6">
        <v>0.10563599553170901</v>
      </c>
      <c r="J23" s="6">
        <v>0.140811965003871</v>
      </c>
      <c r="K23" s="3">
        <v>0.14955071766630801</v>
      </c>
      <c r="L23" s="3">
        <v>0.119048405697356</v>
      </c>
      <c r="M23" s="3">
        <v>0.10043021880483501</v>
      </c>
      <c r="N23" s="6">
        <v>0.12722519568162699</v>
      </c>
      <c r="O23" s="6">
        <v>9.2038920268786101E-2</v>
      </c>
      <c r="P23" s="6">
        <v>0.10880002306615499</v>
      </c>
      <c r="Q23" s="37">
        <f t="shared" si="0"/>
        <v>0.10847131027155295</v>
      </c>
    </row>
    <row r="24" spans="1:17" x14ac:dyDescent="0.35">
      <c r="A24" s="16">
        <v>3006</v>
      </c>
      <c r="B24" s="6">
        <v>0.1014567950705</v>
      </c>
      <c r="C24" s="6">
        <v>6.6783711441691096E-2</v>
      </c>
      <c r="D24" s="6">
        <v>7.0055358991627403E-2</v>
      </c>
      <c r="E24" s="3">
        <v>7.4564638421937599E-2</v>
      </c>
      <c r="F24" s="3">
        <v>9.5488786276640397E-2</v>
      </c>
      <c r="G24" s="3">
        <v>7.2834585110574807E-2</v>
      </c>
      <c r="H24" s="6">
        <v>5.2640687331655799E-2</v>
      </c>
      <c r="I24" s="6">
        <v>9.6356144404168204E-2</v>
      </c>
      <c r="J24" s="6">
        <v>0.11828402994781199</v>
      </c>
      <c r="K24" s="3">
        <v>8.5190620284577703E-2</v>
      </c>
      <c r="L24" s="3">
        <v>0.121870434503217</v>
      </c>
      <c r="M24" s="3">
        <v>6.4005857903323096E-2</v>
      </c>
      <c r="N24" s="6">
        <v>5.9497534678316998E-2</v>
      </c>
      <c r="O24" s="6">
        <v>0.108863381514752</v>
      </c>
      <c r="P24" s="6">
        <v>8.5329357158280994E-2</v>
      </c>
      <c r="Q24" s="37">
        <f t="shared" si="0"/>
        <v>8.4881461535938341E-2</v>
      </c>
    </row>
    <row r="25" spans="1:17" x14ac:dyDescent="0.35">
      <c r="A25" s="16">
        <v>3007</v>
      </c>
      <c r="B25" s="6">
        <v>0.12366076796166101</v>
      </c>
      <c r="C25" s="6">
        <v>7.6394561473140193E-2</v>
      </c>
      <c r="D25" s="6">
        <v>0.19459535927951499</v>
      </c>
      <c r="E25" s="3">
        <v>0.111324468546688</v>
      </c>
      <c r="F25" s="3">
        <v>0.15272862709385601</v>
      </c>
      <c r="G25" s="3">
        <v>0.18385980937139501</v>
      </c>
      <c r="H25" s="6">
        <v>0.146553605439845</v>
      </c>
      <c r="I25" s="6">
        <v>0.110654810129549</v>
      </c>
      <c r="J25" s="6">
        <v>0.18353110062518199</v>
      </c>
      <c r="K25" s="3">
        <v>0.114716136150753</v>
      </c>
      <c r="L25" s="3">
        <v>0.11744299753644399</v>
      </c>
      <c r="M25" s="3">
        <v>0.18133499479899301</v>
      </c>
      <c r="N25" s="6">
        <v>0.177045443248767</v>
      </c>
      <c r="O25" s="6">
        <v>0.113302617352777</v>
      </c>
      <c r="P25" s="6">
        <v>0.23335183373696999</v>
      </c>
      <c r="Q25" s="37">
        <f t="shared" si="0"/>
        <v>0.14803314218303568</v>
      </c>
    </row>
    <row r="26" spans="1:17" x14ac:dyDescent="0.35">
      <c r="A26" s="16">
        <v>3008</v>
      </c>
      <c r="B26" s="6">
        <v>0.12523809603258301</v>
      </c>
      <c r="C26" s="6">
        <v>5.5704031707534303E-2</v>
      </c>
      <c r="D26" s="6">
        <v>9.0110932024161705E-2</v>
      </c>
      <c r="E26" s="3">
        <v>0.19160420981694701</v>
      </c>
      <c r="F26" s="3">
        <v>0.136440723540319</v>
      </c>
      <c r="G26" s="3">
        <v>9.07148491067057E-2</v>
      </c>
      <c r="H26" s="6">
        <v>0.19861136098958301</v>
      </c>
      <c r="I26" s="6">
        <v>0.16587123855151201</v>
      </c>
      <c r="J26" s="6">
        <v>0.14393563401947199</v>
      </c>
      <c r="K26" s="3">
        <v>0.142283357081357</v>
      </c>
      <c r="L26" s="3">
        <v>0.30852484472166503</v>
      </c>
      <c r="M26" s="3">
        <v>0.144524490597112</v>
      </c>
      <c r="N26" s="6">
        <v>0.16576075010592201</v>
      </c>
      <c r="O26" s="6">
        <v>0.146137948277102</v>
      </c>
      <c r="P26" s="6">
        <v>0.26443354509448302</v>
      </c>
      <c r="Q26" s="37">
        <f t="shared" si="0"/>
        <v>0.15799306744443059</v>
      </c>
    </row>
    <row r="27" spans="1:17" x14ac:dyDescent="0.35">
      <c r="A27" s="16">
        <v>3009</v>
      </c>
      <c r="B27" s="6">
        <v>8.8540012025772802E-2</v>
      </c>
      <c r="C27" s="6">
        <v>0.121043616907779</v>
      </c>
      <c r="D27" s="6">
        <v>0.12917610093361601</v>
      </c>
      <c r="E27" s="3">
        <v>0.108419267134907</v>
      </c>
      <c r="F27" s="3">
        <v>0.16842896805000801</v>
      </c>
      <c r="G27" s="3">
        <v>0.17356391173052699</v>
      </c>
      <c r="H27" s="6">
        <v>0.103514364735513</v>
      </c>
      <c r="I27" s="6">
        <v>0.158730982291474</v>
      </c>
      <c r="J27" s="6">
        <v>0.16602047564176201</v>
      </c>
      <c r="K27" s="3">
        <v>0.161928830957316</v>
      </c>
      <c r="L27" s="3">
        <v>0.15668593508214701</v>
      </c>
      <c r="M27" s="3">
        <v>0.13493722978328801</v>
      </c>
      <c r="N27" s="6">
        <v>0.109946948030931</v>
      </c>
      <c r="O27" s="6">
        <v>0.14122053708361501</v>
      </c>
      <c r="P27" s="6">
        <v>0.141273051238264</v>
      </c>
      <c r="Q27" s="37">
        <f t="shared" si="0"/>
        <v>0.13756201544179464</v>
      </c>
    </row>
    <row r="28" spans="1:17" x14ac:dyDescent="0.35">
      <c r="A28" s="16">
        <v>3010</v>
      </c>
      <c r="B28" s="6">
        <v>0.356112869773615</v>
      </c>
      <c r="C28" s="6">
        <v>0.226911469770152</v>
      </c>
      <c r="D28" s="6">
        <v>9.2936045142454696E-2</v>
      </c>
      <c r="E28" s="3">
        <v>0.164943642781607</v>
      </c>
      <c r="F28" s="3">
        <v>0.16991736561988399</v>
      </c>
      <c r="G28" s="3">
        <v>0.117469352234306</v>
      </c>
      <c r="H28" s="6">
        <v>0.162277718298347</v>
      </c>
      <c r="I28" s="6">
        <v>0.11300451598142799</v>
      </c>
      <c r="J28" s="6">
        <v>0.159548991538848</v>
      </c>
      <c r="K28" s="3">
        <v>0.18980556400197099</v>
      </c>
      <c r="L28" s="3">
        <v>0.110845530334263</v>
      </c>
      <c r="M28" s="3">
        <v>7.5683560631534405E-2</v>
      </c>
      <c r="N28" s="6">
        <v>0.26501356069641202</v>
      </c>
      <c r="O28" s="6">
        <v>0.110346233335161</v>
      </c>
      <c r="P28" s="6">
        <v>0.11064712067009699</v>
      </c>
      <c r="Q28" s="37">
        <f t="shared" si="0"/>
        <v>0.16169756938733867</v>
      </c>
    </row>
    <row r="29" spans="1:17" x14ac:dyDescent="0.35">
      <c r="A29" s="16">
        <v>3011</v>
      </c>
      <c r="B29" s="6">
        <v>0.108335099863283</v>
      </c>
      <c r="C29" s="6">
        <v>9.1210327526739493E-2</v>
      </c>
      <c r="D29" s="6">
        <v>6.7783640712360899E-2</v>
      </c>
      <c r="E29" s="3">
        <v>6.4583906779174097E-2</v>
      </c>
      <c r="F29" s="3">
        <v>7.15894251548886E-2</v>
      </c>
      <c r="G29" s="3">
        <v>8.1706157302412305E-2</v>
      </c>
      <c r="H29" s="6">
        <v>8.5051336479858602E-2</v>
      </c>
      <c r="I29" s="6">
        <v>8.3940331593406303E-2</v>
      </c>
      <c r="J29" s="6">
        <v>8.7469792858751297E-2</v>
      </c>
      <c r="K29" s="3">
        <v>7.38809243552562E-2</v>
      </c>
      <c r="L29" s="3">
        <v>6.8121305509607502E-2</v>
      </c>
      <c r="M29" s="3">
        <v>8.9682089031928994E-2</v>
      </c>
      <c r="N29" s="6">
        <v>8.6423345207121E-2</v>
      </c>
      <c r="O29" s="6">
        <v>6.4179771856675394E-2</v>
      </c>
      <c r="P29" s="6">
        <v>9.5519826684060796E-2</v>
      </c>
      <c r="Q29" s="37">
        <f t="shared" si="0"/>
        <v>8.1298485394368306E-2</v>
      </c>
    </row>
    <row r="30" spans="1:17" x14ac:dyDescent="0.35">
      <c r="A30" s="16">
        <v>3012</v>
      </c>
      <c r="B30" s="6">
        <v>0.19749587139396399</v>
      </c>
      <c r="C30" s="6">
        <v>0.23747906627462101</v>
      </c>
      <c r="D30" s="6">
        <v>0.12547180197065699</v>
      </c>
      <c r="E30" s="3">
        <v>0.174615765764287</v>
      </c>
      <c r="F30" s="3">
        <v>0.13240926146341001</v>
      </c>
      <c r="G30" s="3">
        <v>0.194564230561491</v>
      </c>
      <c r="H30" s="6">
        <v>0.31104186201266498</v>
      </c>
      <c r="I30" s="6">
        <v>0.105247651538124</v>
      </c>
      <c r="J30" s="6">
        <v>0.115936790565299</v>
      </c>
      <c r="K30" s="3">
        <v>0.21289340641168</v>
      </c>
      <c r="L30" s="3">
        <v>0.13896972897368901</v>
      </c>
      <c r="M30" s="3">
        <v>0.18476039610797099</v>
      </c>
      <c r="N30" s="6">
        <v>0.22547543857721</v>
      </c>
      <c r="O30" s="6">
        <v>0.139472811989447</v>
      </c>
      <c r="P30" s="6">
        <v>0.151403709850262</v>
      </c>
      <c r="Q30" s="37">
        <f t="shared" si="0"/>
        <v>0.17648251956365177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50643-AAF8-4D41-8CAB-5F00E960E474}">
  <dimension ref="A1:AE51"/>
  <sheetViews>
    <sheetView zoomScale="76" zoomScaleNormal="70" workbookViewId="0">
      <selection activeCell="C38" sqref="C38"/>
    </sheetView>
  </sheetViews>
  <sheetFormatPr defaultRowHeight="14.5" x14ac:dyDescent="0.35"/>
  <cols>
    <col min="1" max="1" width="3" customWidth="1"/>
  </cols>
  <sheetData>
    <row r="1" spans="1:31" x14ac:dyDescent="0.35">
      <c r="C1">
        <v>1001</v>
      </c>
      <c r="D1">
        <v>1002</v>
      </c>
      <c r="E1">
        <v>1003</v>
      </c>
      <c r="F1">
        <v>1004</v>
      </c>
      <c r="G1">
        <v>1005</v>
      </c>
      <c r="H1">
        <v>1006</v>
      </c>
      <c r="I1">
        <v>1009</v>
      </c>
      <c r="J1">
        <v>2001</v>
      </c>
      <c r="K1">
        <v>2002</v>
      </c>
      <c r="L1">
        <v>2004</v>
      </c>
      <c r="M1">
        <v>2005</v>
      </c>
      <c r="N1">
        <v>2006</v>
      </c>
      <c r="O1">
        <v>2007</v>
      </c>
      <c r="P1">
        <v>2008</v>
      </c>
      <c r="Q1">
        <v>2009</v>
      </c>
      <c r="R1">
        <v>2010</v>
      </c>
      <c r="S1">
        <v>2011</v>
      </c>
      <c r="T1">
        <v>2012</v>
      </c>
      <c r="U1">
        <v>3001</v>
      </c>
      <c r="V1">
        <v>3002</v>
      </c>
      <c r="W1">
        <v>3003</v>
      </c>
      <c r="X1">
        <v>3004</v>
      </c>
      <c r="Y1">
        <v>3006</v>
      </c>
      <c r="Z1">
        <v>3007</v>
      </c>
      <c r="AA1">
        <v>3008</v>
      </c>
      <c r="AB1">
        <v>3009</v>
      </c>
      <c r="AC1">
        <v>3010</v>
      </c>
      <c r="AD1">
        <v>3011</v>
      </c>
      <c r="AE1">
        <v>3012</v>
      </c>
    </row>
    <row r="2" spans="1:31" x14ac:dyDescent="0.35">
      <c r="A2" s="45">
        <v>1</v>
      </c>
      <c r="B2" s="4" t="s">
        <v>62</v>
      </c>
      <c r="C2" s="5">
        <v>0.131733040560991</v>
      </c>
      <c r="D2" s="5">
        <v>0.13504828624194201</v>
      </c>
      <c r="E2" s="5">
        <v>0.12339934677159201</v>
      </c>
      <c r="F2" s="5">
        <v>0.15713295760111601</v>
      </c>
      <c r="G2" s="5">
        <v>0.24656208573482299</v>
      </c>
      <c r="H2" s="5">
        <v>0.141076616945043</v>
      </c>
      <c r="I2" s="5">
        <v>0.13265164611618899</v>
      </c>
      <c r="J2" s="5">
        <v>0.19984034616354501</v>
      </c>
      <c r="K2" s="5">
        <v>9.1655250765817195E-2</v>
      </c>
      <c r="L2" s="5">
        <v>0.20239901449459</v>
      </c>
      <c r="M2" s="5">
        <v>0.17650195458081699</v>
      </c>
      <c r="N2" s="5">
        <v>0.13405422232044201</v>
      </c>
      <c r="O2" s="5">
        <v>0.21046719807512701</v>
      </c>
      <c r="P2" s="5">
        <v>0.27285437265693102</v>
      </c>
      <c r="Q2" s="5">
        <v>0.140089162540141</v>
      </c>
      <c r="R2" s="5">
        <v>0.212934303068503</v>
      </c>
      <c r="S2" s="5">
        <v>0.239902733581141</v>
      </c>
      <c r="T2" s="5">
        <v>0.106967944619143</v>
      </c>
      <c r="U2" s="5">
        <v>0.200410663612753</v>
      </c>
      <c r="V2" s="5">
        <v>0.11609808718481</v>
      </c>
      <c r="W2" s="5">
        <v>0.13780217303623099</v>
      </c>
      <c r="X2" s="5">
        <v>0.12795070259698199</v>
      </c>
      <c r="Y2" s="5">
        <v>9.7717340920918896E-2</v>
      </c>
      <c r="Z2" s="5">
        <v>0.185549094548147</v>
      </c>
      <c r="AA2" s="5">
        <v>0.172346251833634</v>
      </c>
      <c r="AB2" s="5">
        <v>0.119217773258311</v>
      </c>
      <c r="AC2" s="5">
        <v>0.22442085883688101</v>
      </c>
      <c r="AD2" s="5">
        <v>0.102434892967063</v>
      </c>
      <c r="AE2" s="5">
        <v>0.163528151436519</v>
      </c>
    </row>
    <row r="3" spans="1:31" x14ac:dyDescent="0.35">
      <c r="A3" s="45"/>
      <c r="B3" s="47" t="s">
        <v>63</v>
      </c>
      <c r="C3" s="3">
        <v>0.16541662136427601</v>
      </c>
      <c r="D3" s="3">
        <v>6.7178422043280103E-2</v>
      </c>
      <c r="E3" s="3">
        <v>0.11944418894580699</v>
      </c>
      <c r="F3" s="3">
        <v>8.3056822223631296E-2</v>
      </c>
      <c r="G3" s="3">
        <v>0.19265654759629799</v>
      </c>
      <c r="H3" s="3">
        <v>0.12501424477607201</v>
      </c>
      <c r="I3" s="3">
        <v>0.283934269177951</v>
      </c>
      <c r="J3" s="3">
        <v>0.128509499275511</v>
      </c>
      <c r="K3" s="3">
        <v>0.113856534899128</v>
      </c>
      <c r="L3" s="3">
        <v>0.15457863810853301</v>
      </c>
      <c r="M3" s="3">
        <v>8.7928686950863796E-2</v>
      </c>
      <c r="N3" s="3">
        <v>0.151914066513572</v>
      </c>
      <c r="O3" s="3">
        <v>8.0118205821415697E-2</v>
      </c>
      <c r="P3" s="3">
        <v>0.24519884254440899</v>
      </c>
      <c r="Q3" s="3">
        <v>0.120550783070811</v>
      </c>
      <c r="R3" s="3">
        <v>0.19860051935631301</v>
      </c>
      <c r="S3" s="3">
        <v>0.12589574134234</v>
      </c>
      <c r="T3" s="3">
        <v>0.169193791557396</v>
      </c>
      <c r="U3" s="3">
        <v>0.16256250551936899</v>
      </c>
      <c r="V3" s="3">
        <v>9.9510192375000098E-2</v>
      </c>
      <c r="W3" s="3">
        <v>7.3216272104623198E-2</v>
      </c>
      <c r="X3" s="3">
        <v>7.6247284496066395E-2</v>
      </c>
      <c r="Y3" s="3">
        <v>0.102159779900992</v>
      </c>
      <c r="Z3" s="3">
        <v>0.13916143202220199</v>
      </c>
      <c r="AA3" s="3">
        <v>0.12065576667795801</v>
      </c>
      <c r="AB3" s="3">
        <v>7.9999566588267401E-2</v>
      </c>
      <c r="AC3" s="3">
        <v>0.30651691594455999</v>
      </c>
      <c r="AD3" s="3">
        <v>6.9406769694761797E-2</v>
      </c>
      <c r="AE3" s="3">
        <v>0.17384486941482999</v>
      </c>
    </row>
    <row r="4" spans="1:31" x14ac:dyDescent="0.35">
      <c r="A4" s="45"/>
      <c r="B4" s="47"/>
      <c r="C4" s="3">
        <v>0.17069058598596501</v>
      </c>
      <c r="D4" s="3">
        <v>0.108677842147371</v>
      </c>
      <c r="E4" s="3">
        <v>0.108707268566479</v>
      </c>
      <c r="F4" s="3">
        <v>0.10619549190637501</v>
      </c>
      <c r="G4" s="3">
        <v>0.117562606841056</v>
      </c>
      <c r="H4" s="3">
        <v>0.101872091756407</v>
      </c>
      <c r="I4" s="3">
        <v>0.15533866888330899</v>
      </c>
      <c r="J4" s="3">
        <v>0.16288007407251701</v>
      </c>
      <c r="K4" s="3">
        <v>0.12937239051324601</v>
      </c>
      <c r="L4" s="3">
        <v>0.22935637239593401</v>
      </c>
      <c r="M4" s="3">
        <v>0.112509054575973</v>
      </c>
      <c r="N4" s="3">
        <v>9.1856015926924495E-2</v>
      </c>
      <c r="O4" s="3">
        <v>0.15034414671215601</v>
      </c>
      <c r="P4" s="3">
        <v>0.42039656674232501</v>
      </c>
      <c r="Q4" s="3">
        <v>8.8321714654005498E-2</v>
      </c>
      <c r="R4" s="3">
        <v>0.24990277798541699</v>
      </c>
      <c r="S4" s="3">
        <v>0.11329008463235</v>
      </c>
      <c r="T4" s="3">
        <v>7.6848118980407207E-2</v>
      </c>
      <c r="U4" s="3">
        <v>0.14418208565273699</v>
      </c>
      <c r="V4" s="3">
        <v>0.109586542046288</v>
      </c>
      <c r="W4" s="3">
        <v>9.1183659369261497E-2</v>
      </c>
      <c r="X4" s="3">
        <v>7.0749730967078206E-2</v>
      </c>
      <c r="Y4" s="3">
        <v>7.3796821960741193E-2</v>
      </c>
      <c r="Z4" s="3">
        <v>0.137004265752633</v>
      </c>
      <c r="AA4" s="3">
        <v>0.167416997949493</v>
      </c>
      <c r="AB4" s="3">
        <v>0.11952390684009601</v>
      </c>
      <c r="AC4" s="3">
        <v>0.20978356999388501</v>
      </c>
      <c r="AD4" s="3">
        <v>8.6967926779096497E-2</v>
      </c>
      <c r="AE4" s="3">
        <v>8.8414782198091499E-2</v>
      </c>
    </row>
    <row r="5" spans="1:31" x14ac:dyDescent="0.35">
      <c r="A5" s="45"/>
      <c r="B5" s="47"/>
      <c r="C5" s="3">
        <v>0.102688238341786</v>
      </c>
      <c r="D5" s="3">
        <v>9.1439057483329894E-2</v>
      </c>
      <c r="E5" s="3">
        <v>8.9765549180552601E-2</v>
      </c>
      <c r="F5" s="3">
        <v>9.8339622595581502E-2</v>
      </c>
      <c r="G5" s="3">
        <v>0.14895586375599401</v>
      </c>
      <c r="H5" s="3">
        <v>9.6088629123757305E-2</v>
      </c>
      <c r="I5" s="3">
        <v>0.181228824568373</v>
      </c>
      <c r="J5" s="3">
        <v>0.114855595618147</v>
      </c>
      <c r="K5" s="3">
        <v>0.10662253436341899</v>
      </c>
      <c r="L5" s="3">
        <v>0.105843119356769</v>
      </c>
      <c r="M5" s="3">
        <v>0.15783563028813899</v>
      </c>
      <c r="N5" s="3">
        <v>7.7517241646720206E-2</v>
      </c>
      <c r="O5" s="3">
        <v>0.119120763380178</v>
      </c>
      <c r="P5" s="3">
        <v>0.204073580330002</v>
      </c>
      <c r="Q5" s="3">
        <v>7.6582459857114593E-2</v>
      </c>
      <c r="R5" s="3">
        <v>0.26677556972093902</v>
      </c>
      <c r="S5" s="3">
        <v>0.11143856272555</v>
      </c>
      <c r="T5" s="3">
        <v>0.102554644087037</v>
      </c>
      <c r="U5" s="3">
        <v>5.8164650578291101E-2</v>
      </c>
      <c r="V5" s="3">
        <v>8.8254013567804004E-2</v>
      </c>
      <c r="W5" s="3">
        <v>7.4541251484943102E-2</v>
      </c>
      <c r="X5" s="3">
        <v>0.11499027904604101</v>
      </c>
      <c r="Y5" s="3">
        <v>0.106449045745887</v>
      </c>
      <c r="Z5" s="3">
        <v>0.16056988341226</v>
      </c>
      <c r="AA5" s="3">
        <v>0.110561468288492</v>
      </c>
      <c r="AB5" s="3">
        <v>7.0851093206079893E-2</v>
      </c>
      <c r="AC5" s="3">
        <v>0.114187203599148</v>
      </c>
      <c r="AD5" s="3">
        <v>8.7471035309813802E-2</v>
      </c>
      <c r="AE5" s="3">
        <v>7.7795069475033493E-2</v>
      </c>
    </row>
    <row r="6" spans="1:31" x14ac:dyDescent="0.35">
      <c r="A6" s="44">
        <v>2</v>
      </c>
      <c r="B6" s="8" t="s">
        <v>62</v>
      </c>
      <c r="C6" s="7">
        <v>0.116603981398977</v>
      </c>
      <c r="D6" s="7">
        <v>0.118186167129289</v>
      </c>
      <c r="E6" s="7">
        <v>0.131052642127723</v>
      </c>
      <c r="F6" s="7">
        <v>0.111825747259636</v>
      </c>
      <c r="G6" s="7">
        <v>0.225583130490464</v>
      </c>
      <c r="H6" s="7">
        <v>9.5371028711970299E-2</v>
      </c>
      <c r="I6" s="7">
        <v>0.111363918724712</v>
      </c>
      <c r="J6" s="7">
        <v>0.14678327877170799</v>
      </c>
      <c r="K6" s="7">
        <v>4.8680984083080199E-2</v>
      </c>
      <c r="L6" s="7">
        <v>0.12164045781883299</v>
      </c>
      <c r="M6" s="7">
        <v>0.12858855674695699</v>
      </c>
      <c r="N6" s="7">
        <v>0.102798710753829</v>
      </c>
      <c r="O6" s="7">
        <v>0.25759687206422799</v>
      </c>
      <c r="P6" s="7">
        <v>0.26791247114705002</v>
      </c>
      <c r="Q6" s="7">
        <v>0.1250577983967</v>
      </c>
      <c r="R6" s="7">
        <v>0.18083832680784101</v>
      </c>
      <c r="S6" s="7">
        <v>0.119985301501061</v>
      </c>
      <c r="T6" s="7">
        <v>0.14682841945400199</v>
      </c>
      <c r="U6" s="7">
        <v>0.62382430443206605</v>
      </c>
      <c r="V6" s="7">
        <v>7.1840752022563695E-2</v>
      </c>
      <c r="W6" s="7">
        <v>0.15833249027060001</v>
      </c>
      <c r="X6" s="7">
        <v>0.117191225369407</v>
      </c>
      <c r="Y6" s="7">
        <v>7.6118851896998699E-2</v>
      </c>
      <c r="Z6" s="7">
        <v>0.14887795102824899</v>
      </c>
      <c r="AA6" s="7">
        <v>0.121472737758125</v>
      </c>
      <c r="AB6" s="7">
        <v>8.5138547513415305E-2</v>
      </c>
      <c r="AC6" s="7">
        <v>0.154810478188906</v>
      </c>
      <c r="AD6" s="7">
        <v>7.8812422085453901E-2</v>
      </c>
      <c r="AE6" s="7">
        <v>0.20615420425770301</v>
      </c>
    </row>
    <row r="7" spans="1:31" x14ac:dyDescent="0.35">
      <c r="A7" s="44"/>
      <c r="B7" s="46" t="s">
        <v>63</v>
      </c>
      <c r="C7" s="6">
        <v>0.134008868740633</v>
      </c>
      <c r="D7" s="6">
        <v>0.115149244373959</v>
      </c>
      <c r="E7" s="6">
        <v>9.9636054015142805E-2</v>
      </c>
      <c r="F7" s="6">
        <v>0.113191222186137</v>
      </c>
      <c r="G7" s="6">
        <v>0.10651623048983901</v>
      </c>
      <c r="H7" s="6">
        <v>0.129281323278814</v>
      </c>
      <c r="I7" s="6">
        <v>0.12473851560820801</v>
      </c>
      <c r="J7" s="6">
        <v>0.12891950791151699</v>
      </c>
      <c r="K7" s="6">
        <v>6.2540926677242495E-2</v>
      </c>
      <c r="L7" s="6">
        <v>0.116439082403201</v>
      </c>
      <c r="M7" s="6">
        <v>0.13486631176920799</v>
      </c>
      <c r="N7" s="6">
        <v>6.6151973069554698E-2</v>
      </c>
      <c r="O7" s="6">
        <v>0.125796861889276</v>
      </c>
      <c r="P7" s="6">
        <v>0.22888329236962701</v>
      </c>
      <c r="Q7" s="6">
        <v>0.10117133461894701</v>
      </c>
      <c r="R7" s="6">
        <v>0.174013589475223</v>
      </c>
      <c r="S7" s="6">
        <v>8.4935851151132405E-2</v>
      </c>
      <c r="T7" s="6">
        <v>0.12450234084925101</v>
      </c>
      <c r="U7" s="6">
        <v>0.152997506939237</v>
      </c>
      <c r="V7" s="6">
        <v>5.7412634905996997E-2</v>
      </c>
      <c r="W7" s="6">
        <v>0.15080094900027999</v>
      </c>
      <c r="X7" s="6">
        <v>0.14926214053609799</v>
      </c>
      <c r="Y7" s="6">
        <v>0.100796910142245</v>
      </c>
      <c r="Z7" s="6">
        <v>0.17557394025225001</v>
      </c>
      <c r="AA7" s="6">
        <v>0.107404529314928</v>
      </c>
      <c r="AB7" s="6">
        <v>0.108245202385866</v>
      </c>
      <c r="AC7" s="6">
        <v>0.175681707252831</v>
      </c>
      <c r="AD7" s="6">
        <v>6.8756015428153794E-2</v>
      </c>
      <c r="AE7" s="6">
        <v>0.116222766303043</v>
      </c>
    </row>
    <row r="8" spans="1:31" x14ac:dyDescent="0.35">
      <c r="A8" s="44"/>
      <c r="B8" s="46"/>
      <c r="C8" s="6">
        <v>0.190067426875555</v>
      </c>
      <c r="D8" s="6">
        <v>0.116052312214345</v>
      </c>
      <c r="E8" s="6">
        <v>8.4602136096225106E-2</v>
      </c>
      <c r="F8" s="6">
        <v>0.112124518641504</v>
      </c>
      <c r="G8" s="6">
        <v>0.13227124563349399</v>
      </c>
      <c r="H8" s="6">
        <v>9.8363566679397205E-2</v>
      </c>
      <c r="I8" s="6">
        <v>0.110090565687924</v>
      </c>
      <c r="J8" s="6">
        <v>0.111311200338056</v>
      </c>
      <c r="K8" s="6">
        <v>8.0998151567253401E-2</v>
      </c>
      <c r="L8" s="6">
        <v>0.14859805391370501</v>
      </c>
      <c r="M8" s="6">
        <v>0.25695382842965597</v>
      </c>
      <c r="N8" s="6">
        <v>7.4297174302009203E-2</v>
      </c>
      <c r="O8" s="6">
        <v>0.16419522655841701</v>
      </c>
      <c r="P8" s="6">
        <v>0.322311066217911</v>
      </c>
      <c r="Q8" s="6">
        <v>0.116839143536939</v>
      </c>
      <c r="R8" s="6">
        <v>0.130283239034992</v>
      </c>
      <c r="S8" s="6">
        <v>0.101573922401899</v>
      </c>
      <c r="T8" s="6">
        <v>0.113853400563538</v>
      </c>
      <c r="U8" s="6">
        <v>0.122592467721166</v>
      </c>
      <c r="V8" s="6">
        <v>5.1263371313178097E-2</v>
      </c>
      <c r="W8" s="6">
        <v>0.102902221244211</v>
      </c>
      <c r="X8" s="6">
        <v>9.9509436132697096E-2</v>
      </c>
      <c r="Y8" s="6">
        <v>9.9161651035902604E-2</v>
      </c>
      <c r="Z8" s="6">
        <v>0.10841885616017299</v>
      </c>
      <c r="AA8" s="6">
        <v>8.6459837309046203E-2</v>
      </c>
      <c r="AB8" s="6">
        <v>0.11403930547766999</v>
      </c>
      <c r="AC8" s="6">
        <v>0.16167811090806</v>
      </c>
      <c r="AD8" s="6">
        <v>6.3487188214927798E-2</v>
      </c>
      <c r="AE8" s="6">
        <v>0.19124108503342399</v>
      </c>
    </row>
    <row r="9" spans="1:31" x14ac:dyDescent="0.35">
      <c r="A9" s="44"/>
      <c r="B9" s="46"/>
      <c r="C9" s="6">
        <v>0.65018519588618695</v>
      </c>
      <c r="D9" s="6">
        <v>6.6298094213531195E-2</v>
      </c>
      <c r="E9" s="6">
        <v>8.3178220832914304E-2</v>
      </c>
      <c r="F9" s="6">
        <v>8.8367840457954205E-2</v>
      </c>
      <c r="G9" s="6">
        <v>0.143568311112516</v>
      </c>
      <c r="H9" s="6">
        <v>0.14581067405058301</v>
      </c>
      <c r="I9" s="6">
        <v>0.18722594721063501</v>
      </c>
      <c r="J9" s="6">
        <v>0.179322203315184</v>
      </c>
      <c r="K9" s="6">
        <v>8.4893832807924993E-2</v>
      </c>
      <c r="L9" s="6">
        <v>0.14797042009458899</v>
      </c>
      <c r="M9" s="6">
        <v>0.115713171355943</v>
      </c>
      <c r="N9" s="6">
        <v>0.16011633988295201</v>
      </c>
      <c r="O9" s="6">
        <v>0.12069376227287899</v>
      </c>
      <c r="P9" s="6">
        <v>0.20486975260659199</v>
      </c>
      <c r="Q9" s="6">
        <v>0.11845436470008799</v>
      </c>
      <c r="R9" s="6">
        <v>0.17021813042183001</v>
      </c>
      <c r="S9" s="6">
        <v>0.12587488805753799</v>
      </c>
      <c r="T9" s="6">
        <v>0.14366208469908001</v>
      </c>
      <c r="U9" s="6">
        <v>9.9704308549122794E-2</v>
      </c>
      <c r="V9" s="6">
        <v>6.6753559459030595E-2</v>
      </c>
      <c r="W9" s="6">
        <v>7.7959526863991394E-2</v>
      </c>
      <c r="X9" s="6">
        <v>7.6348875173488595E-2</v>
      </c>
      <c r="Y9" s="6">
        <v>7.9893895363407699E-2</v>
      </c>
      <c r="Z9" s="6">
        <v>6.6240559199936502E-2</v>
      </c>
      <c r="AA9" s="6">
        <v>0.110696440392582</v>
      </c>
      <c r="AB9" s="6">
        <v>0.176184818643916</v>
      </c>
      <c r="AC9" s="6">
        <v>0.11797792202256301</v>
      </c>
      <c r="AD9" s="6">
        <v>0.109502659328425</v>
      </c>
      <c r="AE9" s="6">
        <v>8.24346733616063E-2</v>
      </c>
    </row>
    <row r="10" spans="1:31" x14ac:dyDescent="0.35">
      <c r="A10" s="45">
        <v>3</v>
      </c>
      <c r="B10" s="4" t="s">
        <v>62</v>
      </c>
      <c r="C10" s="5">
        <v>9.0370551941318794E-2</v>
      </c>
      <c r="D10" s="5">
        <v>0.180238604236821</v>
      </c>
      <c r="E10" s="5">
        <v>7.6708270150697894E-2</v>
      </c>
      <c r="F10" s="5">
        <v>0.108259384729883</v>
      </c>
      <c r="G10" s="5">
        <v>0.14854598451182</v>
      </c>
      <c r="H10" s="5">
        <v>0.119946632029587</v>
      </c>
      <c r="I10" s="5">
        <v>9.1864787158187494E-2</v>
      </c>
      <c r="J10" s="5">
        <v>0.22878195195926501</v>
      </c>
      <c r="K10" s="5">
        <v>9.5660613027472197E-2</v>
      </c>
      <c r="L10" s="5">
        <v>0.23332517557774901</v>
      </c>
      <c r="M10" s="5">
        <v>0.13832724285530201</v>
      </c>
      <c r="N10" s="5">
        <v>0.15485423225983999</v>
      </c>
      <c r="O10" s="5">
        <v>0.180588708664561</v>
      </c>
      <c r="P10" s="5">
        <v>0.34629450334797801</v>
      </c>
      <c r="Q10" s="5">
        <v>0.17185679059481501</v>
      </c>
      <c r="R10" s="5">
        <v>0.16632602633427501</v>
      </c>
      <c r="S10" s="5">
        <v>8.73156397016389E-2</v>
      </c>
      <c r="T10" s="5">
        <v>0.135204088185158</v>
      </c>
      <c r="U10" s="5">
        <v>0.11562560886058799</v>
      </c>
      <c r="V10" s="5">
        <v>8.6780793791673402E-2</v>
      </c>
      <c r="W10" s="5">
        <v>0.123632667589857</v>
      </c>
      <c r="X10" s="5">
        <v>0.126537601732398</v>
      </c>
      <c r="Y10" s="5">
        <v>9.0136791157448395E-2</v>
      </c>
      <c r="Z10" s="5">
        <v>0.13555448087723199</v>
      </c>
      <c r="AA10" s="5">
        <v>0.127052541136806</v>
      </c>
      <c r="AB10" s="5">
        <v>8.8576429031580403E-2</v>
      </c>
      <c r="AC10" s="5">
        <v>0.18934176975831499</v>
      </c>
      <c r="AD10" s="5">
        <v>0.11171322019346799</v>
      </c>
      <c r="AE10" s="5">
        <v>9.4027622838787697E-2</v>
      </c>
    </row>
    <row r="11" spans="1:31" x14ac:dyDescent="0.35">
      <c r="A11" s="45"/>
      <c r="B11" s="47" t="s">
        <v>63</v>
      </c>
      <c r="C11" s="3">
        <v>0.17286104374605499</v>
      </c>
      <c r="D11" s="3">
        <v>0.13746594196776901</v>
      </c>
      <c r="E11" s="3">
        <v>0.11215281209847899</v>
      </c>
      <c r="F11" s="3">
        <v>9.59377470034255E-2</v>
      </c>
      <c r="G11" s="3">
        <v>0.14019958989192599</v>
      </c>
      <c r="H11" s="3">
        <v>0.104161635332526</v>
      </c>
      <c r="I11" s="3">
        <v>0.225099395061126</v>
      </c>
      <c r="J11" s="3">
        <v>0.23076807139161301</v>
      </c>
      <c r="K11" s="3">
        <v>9.4503937277654201E-2</v>
      </c>
      <c r="L11" s="3">
        <v>0.14136618776856899</v>
      </c>
      <c r="M11" s="3">
        <v>0.181013755845534</v>
      </c>
      <c r="N11" s="3">
        <v>0.10676446610844</v>
      </c>
      <c r="O11" s="3">
        <v>0.127247744357492</v>
      </c>
      <c r="P11" s="3">
        <v>0.607558120777697</v>
      </c>
      <c r="Q11" s="3">
        <v>0.14359047138790801</v>
      </c>
      <c r="R11" s="3">
        <v>0.15832686490211401</v>
      </c>
      <c r="S11" s="3">
        <v>9.6610120932596896E-2</v>
      </c>
      <c r="T11" s="3">
        <v>0.14606321872340799</v>
      </c>
      <c r="U11" s="3">
        <v>0.10138664466123699</v>
      </c>
      <c r="V11" s="3">
        <v>6.9387185149201294E-2</v>
      </c>
      <c r="W11" s="3">
        <v>0.103678693748729</v>
      </c>
      <c r="X11" s="3">
        <v>0.13802928813239401</v>
      </c>
      <c r="Y11" s="3">
        <v>6.3541171576387001E-2</v>
      </c>
      <c r="Z11" s="3">
        <v>0.155166954932308</v>
      </c>
      <c r="AA11" s="3">
        <v>0.12790375106006699</v>
      </c>
      <c r="AB11" s="3">
        <v>7.4959701615696706E-2</v>
      </c>
      <c r="AC11" s="3">
        <v>0.23123560950920499</v>
      </c>
      <c r="AD11" s="3">
        <v>9.5460933613359999E-2</v>
      </c>
      <c r="AE11" s="3">
        <v>0.114876851513956</v>
      </c>
    </row>
    <row r="12" spans="1:31" x14ac:dyDescent="0.35">
      <c r="A12" s="45"/>
      <c r="B12" s="47"/>
      <c r="C12" s="3">
        <v>0.14677390808906901</v>
      </c>
      <c r="D12" s="3">
        <v>0.11301611777331</v>
      </c>
      <c r="E12" s="3">
        <v>0.10461986839731501</v>
      </c>
      <c r="F12" s="3">
        <v>8.6894943662131005E-2</v>
      </c>
      <c r="G12" s="3">
        <v>0.102244685880213</v>
      </c>
      <c r="H12" s="3">
        <v>0.13241188538655299</v>
      </c>
      <c r="I12" s="3">
        <v>0.15178565634423899</v>
      </c>
      <c r="J12" s="3">
        <v>0.13901436509721601</v>
      </c>
      <c r="K12" s="3">
        <v>5.5623444753189602E-2</v>
      </c>
      <c r="L12" s="3">
        <v>0.45243670792868801</v>
      </c>
      <c r="M12" s="3">
        <v>0.243811509804507</v>
      </c>
      <c r="N12" s="3">
        <v>0.13243542883100401</v>
      </c>
      <c r="O12" s="3">
        <v>9.8474496936854297E-2</v>
      </c>
      <c r="P12" s="3">
        <v>0.405647487736081</v>
      </c>
      <c r="Q12" s="3">
        <v>0.18714406633460601</v>
      </c>
      <c r="R12" s="3">
        <v>0.16512427835738799</v>
      </c>
      <c r="S12" s="3">
        <v>8.0265669668184006E-2</v>
      </c>
      <c r="T12" s="3">
        <v>0.16378995333059401</v>
      </c>
      <c r="U12" s="3">
        <v>0.12894099323011499</v>
      </c>
      <c r="V12" s="3">
        <v>5.8112723138961202E-2</v>
      </c>
      <c r="W12" s="3">
        <v>8.3426757737693299E-2</v>
      </c>
      <c r="X12" s="3">
        <v>0.13303443401868201</v>
      </c>
      <c r="Y12" s="3">
        <v>0.145220917529536</v>
      </c>
      <c r="Z12" s="3">
        <v>9.5163653763130407E-2</v>
      </c>
      <c r="AA12" s="3">
        <v>0.10967483874055101</v>
      </c>
      <c r="AB12" s="3">
        <v>8.94186181444242E-2</v>
      </c>
      <c r="AC12" s="3">
        <v>0.156673532578571</v>
      </c>
      <c r="AD12" s="3">
        <v>9.9990100186466396E-2</v>
      </c>
      <c r="AE12" s="3">
        <v>9.3701279503719398E-2</v>
      </c>
    </row>
    <row r="13" spans="1:31" x14ac:dyDescent="0.35">
      <c r="A13" s="45"/>
      <c r="B13" s="47"/>
      <c r="C13" s="3">
        <v>0.16394759281879301</v>
      </c>
      <c r="D13" s="3">
        <v>9.9954968053730206E-2</v>
      </c>
      <c r="E13" s="3">
        <v>0.15574416999906701</v>
      </c>
      <c r="F13" s="3">
        <v>0.100819000606255</v>
      </c>
      <c r="G13" s="3">
        <v>0.36170175288614997</v>
      </c>
      <c r="H13" s="3">
        <v>9.4165845883087601E-2</v>
      </c>
      <c r="I13" s="3">
        <v>0.18095388330874099</v>
      </c>
      <c r="J13" s="3">
        <v>0.14070322407215599</v>
      </c>
      <c r="K13" s="3">
        <v>8.9441421861744599E-2</v>
      </c>
      <c r="L13" s="3">
        <v>0.12037853292447501</v>
      </c>
      <c r="M13" s="3">
        <v>0.35693838704143399</v>
      </c>
      <c r="N13" s="3">
        <v>9.5345827608826497E-2</v>
      </c>
      <c r="O13" s="3">
        <v>8.8285455795905493E-2</v>
      </c>
      <c r="P13" s="3">
        <v>0.15878295734974901</v>
      </c>
      <c r="Q13" s="3">
        <v>0.11657997982450199</v>
      </c>
      <c r="R13" s="3">
        <v>0.136468129803585</v>
      </c>
      <c r="S13" s="3">
        <v>6.2794542592984004E-2</v>
      </c>
      <c r="T13" s="3">
        <v>0.1124829862825</v>
      </c>
      <c r="U13" s="3">
        <v>0.16560104575988199</v>
      </c>
      <c r="V13" s="3">
        <v>5.0628232256232697E-2</v>
      </c>
      <c r="W13" s="3">
        <v>5.5749727834361697E-2</v>
      </c>
      <c r="X13" s="3">
        <v>0.12643153595114601</v>
      </c>
      <c r="Y13" s="3">
        <v>8.5536089222832304E-2</v>
      </c>
      <c r="Z13" s="3">
        <v>0.172095363448454</v>
      </c>
      <c r="AA13" s="3">
        <v>0.111929370671809</v>
      </c>
      <c r="AB13" s="3">
        <v>0.14843095776513399</v>
      </c>
      <c r="AC13" s="3">
        <v>0.13611242794800199</v>
      </c>
      <c r="AD13" s="3">
        <v>6.3695049883967403E-2</v>
      </c>
      <c r="AE13" s="3">
        <v>0.13278764387602601</v>
      </c>
    </row>
    <row r="14" spans="1:31" x14ac:dyDescent="0.35">
      <c r="A14" s="44">
        <v>4</v>
      </c>
      <c r="B14" s="8" t="s">
        <v>62</v>
      </c>
      <c r="C14" s="7">
        <v>0.13229508689650399</v>
      </c>
      <c r="D14" s="7">
        <v>0.14626102621877901</v>
      </c>
      <c r="E14" s="7">
        <v>9.6860685107247296E-2</v>
      </c>
      <c r="F14" s="7">
        <v>0.15204033014604201</v>
      </c>
      <c r="G14" s="7">
        <v>0.321672070140467</v>
      </c>
      <c r="H14" s="7">
        <v>0.210101140927376</v>
      </c>
      <c r="I14" s="7">
        <v>8.7749838720616299E-2</v>
      </c>
      <c r="J14" s="7">
        <v>0.14922341881422299</v>
      </c>
      <c r="K14" s="7">
        <v>9.1094807470581504E-2</v>
      </c>
      <c r="L14" s="7">
        <v>0.18527961281147801</v>
      </c>
      <c r="M14" s="7">
        <v>0.17572404366549399</v>
      </c>
      <c r="N14" s="7">
        <v>0.14762014066398099</v>
      </c>
      <c r="O14" s="7">
        <v>0.217405256754714</v>
      </c>
      <c r="P14" s="7">
        <v>0.30377699096816102</v>
      </c>
      <c r="Q14" s="7">
        <v>0.173810740148475</v>
      </c>
      <c r="R14" s="7">
        <v>0.16682236520222599</v>
      </c>
      <c r="S14" s="7">
        <v>0.10932705384088399</v>
      </c>
      <c r="T14" s="7">
        <v>0.13590068646400999</v>
      </c>
      <c r="U14" s="7">
        <v>0.13141047080601501</v>
      </c>
      <c r="V14" s="7">
        <v>6.46431935291127E-2</v>
      </c>
      <c r="W14" s="7">
        <v>0.10845249698957</v>
      </c>
      <c r="X14" s="7">
        <v>0.111984682102864</v>
      </c>
      <c r="Y14" s="7">
        <v>0.11291232134196701</v>
      </c>
      <c r="Z14" s="7">
        <v>0.13095824479997201</v>
      </c>
      <c r="AA14" s="7">
        <v>0.10465615465146599</v>
      </c>
      <c r="AB14" s="7">
        <v>0.122027484193709</v>
      </c>
      <c r="AC14" s="7">
        <v>0.19179274503056001</v>
      </c>
      <c r="AD14" s="7">
        <v>0.117812577406521</v>
      </c>
      <c r="AE14" s="7">
        <v>0.19996867316726499</v>
      </c>
    </row>
    <row r="15" spans="1:31" x14ac:dyDescent="0.35">
      <c r="A15" s="44"/>
      <c r="B15" s="46" t="s">
        <v>63</v>
      </c>
      <c r="C15" s="6">
        <v>0.152759260917051</v>
      </c>
      <c r="D15" s="6">
        <v>0.135922099917405</v>
      </c>
      <c r="E15" s="6">
        <v>0.16945003416684701</v>
      </c>
      <c r="F15" s="6">
        <v>8.5880700061892301E-2</v>
      </c>
      <c r="G15" s="6">
        <v>0.13069212591861801</v>
      </c>
      <c r="H15" s="6">
        <v>0.11035313464573</v>
      </c>
      <c r="I15" s="6">
        <v>0.19168692271047</v>
      </c>
      <c r="J15" s="6">
        <v>0.120768899363306</v>
      </c>
      <c r="K15" s="6">
        <v>8.7290883181341705E-2</v>
      </c>
      <c r="L15" s="6">
        <v>0.20575278868764099</v>
      </c>
      <c r="M15" s="6">
        <v>0.21891286260333101</v>
      </c>
      <c r="N15" s="6">
        <v>0.17463376383630499</v>
      </c>
      <c r="O15" s="6">
        <v>0.13549529997291099</v>
      </c>
      <c r="P15" s="6">
        <v>0.25449045227477901</v>
      </c>
      <c r="Q15" s="6">
        <v>0.12469285071241</v>
      </c>
      <c r="R15" s="6">
        <v>8.3826451288791903E-2</v>
      </c>
      <c r="S15" s="6">
        <v>0.100459571405284</v>
      </c>
      <c r="T15" s="6">
        <v>8.6083414691282001E-2</v>
      </c>
      <c r="U15" s="6">
        <v>0.16294796807342099</v>
      </c>
      <c r="V15" s="6">
        <v>5.9728936591852799E-2</v>
      </c>
      <c r="W15" s="6">
        <v>8.0297760601946905E-2</v>
      </c>
      <c r="X15" s="6">
        <v>0.10672174371502199</v>
      </c>
      <c r="Y15" s="6">
        <v>8.3400340119945598E-2</v>
      </c>
      <c r="Z15" s="6">
        <v>0.196606092550206</v>
      </c>
      <c r="AA15" s="6">
        <v>0.13715372351034999</v>
      </c>
      <c r="AB15" s="6">
        <v>0.143639505763383</v>
      </c>
      <c r="AC15" s="6">
        <v>0.32518517652718498</v>
      </c>
      <c r="AD15" s="6">
        <v>0.102821719242707</v>
      </c>
      <c r="AE15" s="6">
        <v>0.191796691609806</v>
      </c>
    </row>
    <row r="16" spans="1:31" x14ac:dyDescent="0.35">
      <c r="A16" s="44"/>
      <c r="B16" s="46"/>
      <c r="C16" s="6">
        <v>0.155309883503013</v>
      </c>
      <c r="D16" s="6">
        <v>7.9281899403138303E-2</v>
      </c>
      <c r="E16" s="6">
        <v>0.10202066679534801</v>
      </c>
      <c r="F16" s="6">
        <v>0.11504754247533901</v>
      </c>
      <c r="G16" s="6">
        <v>0.126368932988626</v>
      </c>
      <c r="H16" s="6">
        <v>0.136576686849115</v>
      </c>
      <c r="I16" s="6">
        <v>0.26433690403918603</v>
      </c>
      <c r="J16" s="6">
        <v>0.14833554635290699</v>
      </c>
      <c r="K16" s="6">
        <v>9.1298172906477307E-2</v>
      </c>
      <c r="L16" s="6">
        <v>0.10500829889226999</v>
      </c>
      <c r="M16" s="6">
        <v>0.26170139051685698</v>
      </c>
      <c r="N16" s="6">
        <v>8.7904808658421804E-2</v>
      </c>
      <c r="O16" s="6">
        <v>0.140955643499793</v>
      </c>
      <c r="P16" s="6">
        <v>0.16419230006712299</v>
      </c>
      <c r="Q16" s="6">
        <v>0.19209873200094099</v>
      </c>
      <c r="R16" s="6">
        <v>0.179220438839408</v>
      </c>
      <c r="S16" s="6">
        <v>9.63424827893547E-2</v>
      </c>
      <c r="T16" s="6">
        <v>0.113371220710069</v>
      </c>
      <c r="U16" s="6">
        <v>0.122974104513144</v>
      </c>
      <c r="V16" s="6">
        <v>5.3743373274678999E-2</v>
      </c>
      <c r="W16" s="6">
        <v>0.14592564418005599</v>
      </c>
      <c r="X16" s="6">
        <v>0.12830593320474601</v>
      </c>
      <c r="Y16" s="6">
        <v>7.0824771453621496E-2</v>
      </c>
      <c r="Z16" s="6">
        <v>6.0587350294357703E-2</v>
      </c>
      <c r="AA16" s="6">
        <v>7.1867704166811E-2</v>
      </c>
      <c r="AB16" s="6">
        <v>9.7284233519523797E-2</v>
      </c>
      <c r="AC16" s="6">
        <v>0.169871893984853</v>
      </c>
      <c r="AD16" s="6">
        <v>9.5529153305161596E-2</v>
      </c>
      <c r="AE16" s="6">
        <v>0.13965842937703701</v>
      </c>
    </row>
    <row r="17" spans="1:31" x14ac:dyDescent="0.35">
      <c r="A17" s="44"/>
      <c r="B17" s="46"/>
      <c r="C17" s="6">
        <v>8.8326820290112906E-2</v>
      </c>
      <c r="D17" s="6">
        <v>9.2097846432809397E-2</v>
      </c>
      <c r="E17" s="6">
        <v>6.6493286338168006E-2</v>
      </c>
      <c r="F17" s="6">
        <v>0.15099344434461401</v>
      </c>
      <c r="G17" s="6">
        <v>0.106153959846652</v>
      </c>
      <c r="H17" s="6">
        <v>0.11902785211991999</v>
      </c>
      <c r="I17" s="6">
        <v>0.16235030562614999</v>
      </c>
      <c r="J17" s="6">
        <v>7.6908109294781798E-2</v>
      </c>
      <c r="K17" s="6">
        <v>5.13985166695409E-2</v>
      </c>
      <c r="L17" s="6">
        <v>0.33011812076057601</v>
      </c>
      <c r="M17" s="6">
        <v>0.270572884331508</v>
      </c>
      <c r="N17" s="6">
        <v>0.198266248940139</v>
      </c>
      <c r="O17" s="6">
        <v>0.106547100558186</v>
      </c>
      <c r="P17" s="6">
        <v>0.28788615095473202</v>
      </c>
      <c r="Q17" s="6">
        <v>0.141646070503812</v>
      </c>
      <c r="R17" s="6">
        <v>0.13579463043491199</v>
      </c>
      <c r="S17" s="6">
        <v>7.6944685271592594E-2</v>
      </c>
      <c r="T17" s="6">
        <v>0.168161208037992</v>
      </c>
      <c r="U17" s="6">
        <v>0.17883139960310401</v>
      </c>
      <c r="V17" s="6">
        <v>6.1200177937807299E-2</v>
      </c>
      <c r="W17" s="6">
        <v>8.0678439405744304E-2</v>
      </c>
      <c r="X17" s="6">
        <v>0.14436751944119799</v>
      </c>
      <c r="Y17" s="6">
        <v>5.76592927188685E-2</v>
      </c>
      <c r="Z17" s="6">
        <v>0.10065159087004601</v>
      </c>
      <c r="AA17" s="6">
        <v>0.12952072503968301</v>
      </c>
      <c r="AB17" s="6">
        <v>9.94601486712898E-2</v>
      </c>
      <c r="AC17" s="6">
        <v>0.189876594037615</v>
      </c>
      <c r="AD17" s="6">
        <v>7.2825494959190495E-2</v>
      </c>
      <c r="AE17" s="6">
        <v>0.14958683075971699</v>
      </c>
    </row>
    <row r="18" spans="1:31" x14ac:dyDescent="0.35">
      <c r="A18" s="45">
        <v>5</v>
      </c>
      <c r="B18" s="4" t="s">
        <v>62</v>
      </c>
      <c r="C18" s="5">
        <v>0.104345470178921</v>
      </c>
      <c r="D18" s="5">
        <v>0.171716947571805</v>
      </c>
      <c r="E18" s="5">
        <v>0.13342215984773501</v>
      </c>
      <c r="F18" s="5">
        <v>0.117735839069937</v>
      </c>
      <c r="G18" s="5">
        <v>0.28352669835127497</v>
      </c>
      <c r="H18" s="5">
        <v>0.20333950218107799</v>
      </c>
      <c r="I18" s="5">
        <v>0.121441132877057</v>
      </c>
      <c r="J18" s="5">
        <v>0.26979081587812698</v>
      </c>
      <c r="K18" s="5">
        <v>7.4365012479472706E-2</v>
      </c>
      <c r="L18" s="5">
        <v>0.188820890494315</v>
      </c>
      <c r="M18" s="5">
        <v>0.189929611370105</v>
      </c>
      <c r="N18" s="5">
        <v>8.1712948052122494E-2</v>
      </c>
      <c r="O18" s="5">
        <v>0.17498457297240999</v>
      </c>
      <c r="P18" s="5">
        <v>0.36213429418195497</v>
      </c>
      <c r="Q18" s="5">
        <v>0.15945766386466501</v>
      </c>
      <c r="R18" s="5">
        <v>0.27562024327064799</v>
      </c>
      <c r="S18" s="5">
        <v>0.15112799657842699</v>
      </c>
      <c r="T18" s="5">
        <v>0.118420083976704</v>
      </c>
      <c r="U18" s="5">
        <v>9.6200787779156097E-2</v>
      </c>
      <c r="V18" s="5">
        <v>9.6616184167545194E-2</v>
      </c>
      <c r="W18" s="5">
        <v>8.8146397541678703E-2</v>
      </c>
      <c r="X18" s="5">
        <v>0.15938051177263801</v>
      </c>
      <c r="Y18" s="5">
        <v>0.12503163024170599</v>
      </c>
      <c r="Z18" s="5">
        <v>0.101244663116923</v>
      </c>
      <c r="AA18" s="5">
        <v>0.15117421648827001</v>
      </c>
      <c r="AB18" s="5">
        <v>0.16360989675842899</v>
      </c>
      <c r="AC18" s="5">
        <v>0.17656689810863499</v>
      </c>
      <c r="AD18" s="5">
        <v>0.12180504417983</v>
      </c>
      <c r="AE18" s="5">
        <v>0.16026542506734001</v>
      </c>
    </row>
    <row r="19" spans="1:31" x14ac:dyDescent="0.35">
      <c r="A19" s="45"/>
      <c r="B19" s="47" t="s">
        <v>63</v>
      </c>
      <c r="C19" s="3">
        <v>0.16470187462935901</v>
      </c>
      <c r="D19" s="3">
        <v>0.116616037771637</v>
      </c>
      <c r="E19" s="3">
        <v>0.109662436531475</v>
      </c>
      <c r="F19" s="3">
        <v>0.123416508397616</v>
      </c>
      <c r="G19" s="3">
        <v>0.22787864990285001</v>
      </c>
      <c r="H19" s="3">
        <v>0.108893961662497</v>
      </c>
      <c r="I19" s="3">
        <v>0.261540171554899</v>
      </c>
      <c r="J19" s="3">
        <v>0.17539137763597601</v>
      </c>
      <c r="K19" s="3">
        <v>0.10277854409232599</v>
      </c>
      <c r="L19" s="3">
        <v>0.15377783849284599</v>
      </c>
      <c r="M19" s="3">
        <v>0.156014734022908</v>
      </c>
      <c r="N19" s="3">
        <v>0.11513843964918501</v>
      </c>
      <c r="O19" s="3">
        <v>0.22866872461569901</v>
      </c>
      <c r="P19" s="3">
        <v>0.23285977094719601</v>
      </c>
      <c r="Q19" s="3">
        <v>0.20723439600082499</v>
      </c>
      <c r="R19" s="3">
        <v>0.14320766479215999</v>
      </c>
      <c r="S19" s="3">
        <v>7.9159708758540295E-2</v>
      </c>
      <c r="T19" s="3">
        <v>6.10953609306066E-2</v>
      </c>
      <c r="U19" s="3">
        <v>0.20959614303988899</v>
      </c>
      <c r="V19" s="3">
        <v>3.7924762486723503E-2</v>
      </c>
      <c r="W19" s="3">
        <v>8.1095795580910998E-2</v>
      </c>
      <c r="X19" s="3">
        <v>0.14898523391183599</v>
      </c>
      <c r="Y19" s="3">
        <v>7.1676266769307204E-2</v>
      </c>
      <c r="Z19" s="3">
        <v>0.19505279164700101</v>
      </c>
      <c r="AA19" s="3">
        <v>0.15870878767556701</v>
      </c>
      <c r="AB19" s="3">
        <v>0.11219542422885</v>
      </c>
      <c r="AC19" s="3">
        <v>0.12907422631460599</v>
      </c>
      <c r="AD19" s="3">
        <v>7.2272617312722304E-2</v>
      </c>
      <c r="AE19" s="3">
        <v>0.18001478524971701</v>
      </c>
    </row>
    <row r="20" spans="1:31" x14ac:dyDescent="0.35">
      <c r="A20" s="45"/>
      <c r="B20" s="47"/>
      <c r="C20" s="3">
        <v>0.14075404121846199</v>
      </c>
      <c r="D20" s="3">
        <v>0.22232633914674599</v>
      </c>
      <c r="E20" s="3">
        <v>0.115073900934516</v>
      </c>
      <c r="F20" s="3">
        <v>7.7164893041554106E-2</v>
      </c>
      <c r="G20" s="3">
        <v>0.14832453361978901</v>
      </c>
      <c r="H20" s="3">
        <v>0.11233632247648601</v>
      </c>
      <c r="I20" s="3">
        <v>0.12324387084687501</v>
      </c>
      <c r="J20" s="3">
        <v>0.11671374025084599</v>
      </c>
      <c r="K20" s="3">
        <v>8.7169136329468599E-2</v>
      </c>
      <c r="L20" s="3">
        <v>0.13983069406443999</v>
      </c>
      <c r="M20" s="3">
        <v>0.124934627874818</v>
      </c>
      <c r="N20" s="3">
        <v>0.110352509643679</v>
      </c>
      <c r="O20" s="3">
        <v>0.10985579559200701</v>
      </c>
      <c r="P20" s="3">
        <v>0.18320309127784101</v>
      </c>
      <c r="Q20" s="3">
        <v>0.12716163859886601</v>
      </c>
      <c r="R20" s="3">
        <v>0.187500606932887</v>
      </c>
      <c r="S20" s="3">
        <v>6.7039454419103306E-2</v>
      </c>
      <c r="T20" s="3">
        <v>7.9640020971662895E-2</v>
      </c>
      <c r="U20" s="3">
        <v>0.16924889884617</v>
      </c>
      <c r="V20" s="3">
        <v>7.7205902405853996E-2</v>
      </c>
      <c r="W20" s="3">
        <v>9.3612287377366099E-2</v>
      </c>
      <c r="X20" s="3">
        <v>0.135249212869645</v>
      </c>
      <c r="Y20" s="3">
        <v>0.111595883453453</v>
      </c>
      <c r="Z20" s="3">
        <v>7.8479953917572398E-2</v>
      </c>
      <c r="AA20" s="3">
        <v>0.157532532433245</v>
      </c>
      <c r="AB20" s="3">
        <v>0.10748254087998101</v>
      </c>
      <c r="AC20" s="3">
        <v>0.19648550887138</v>
      </c>
      <c r="AD20" s="3">
        <v>0.112084818402881</v>
      </c>
      <c r="AE20" s="3">
        <v>0.16096301246504099</v>
      </c>
    </row>
    <row r="21" spans="1:31" x14ac:dyDescent="0.35">
      <c r="A21" s="45"/>
      <c r="B21" s="47"/>
      <c r="C21" s="3">
        <v>0.102637748290616</v>
      </c>
      <c r="D21" s="3">
        <v>0.12798069067045301</v>
      </c>
      <c r="E21" s="3">
        <v>0.104289796117776</v>
      </c>
      <c r="F21" s="3">
        <v>9.9235101956661007E-2</v>
      </c>
      <c r="G21" s="3">
        <v>0.16987581965469001</v>
      </c>
      <c r="H21" s="3">
        <v>0.104014652876562</v>
      </c>
      <c r="I21" s="3">
        <v>0.13489943925016701</v>
      </c>
      <c r="J21" s="3">
        <v>0.15336886109026199</v>
      </c>
      <c r="K21" s="3">
        <v>0.13057307755856501</v>
      </c>
      <c r="L21" s="3">
        <v>0.22366126573063899</v>
      </c>
      <c r="M21" s="3">
        <v>0.210763561879349</v>
      </c>
      <c r="N21" s="3">
        <v>0.14896722596635401</v>
      </c>
      <c r="O21" s="3">
        <v>0.20770152799073999</v>
      </c>
      <c r="P21" s="3">
        <v>0.22622979252908501</v>
      </c>
      <c r="Q21" s="3">
        <v>0.13813573441289101</v>
      </c>
      <c r="R21" s="3">
        <v>7.8174671449095595E-2</v>
      </c>
      <c r="S21" s="3">
        <v>7.8384745303867201E-2</v>
      </c>
      <c r="T21" s="3">
        <v>0.136961379165495</v>
      </c>
      <c r="U21" s="3">
        <v>9.6670018581287806E-2</v>
      </c>
      <c r="V21" s="3">
        <v>6.4431169271917096E-2</v>
      </c>
      <c r="W21" s="3">
        <v>0.1012570697001</v>
      </c>
      <c r="X21" s="3">
        <v>0.10770779879582</v>
      </c>
      <c r="Y21" s="3">
        <v>0.11142254852509401</v>
      </c>
      <c r="Z21" s="3">
        <v>0.17257109478059399</v>
      </c>
      <c r="AA21" s="3">
        <v>0.20532908516766901</v>
      </c>
      <c r="AB21" s="3">
        <v>8.9284092199687595E-2</v>
      </c>
      <c r="AC21" s="3">
        <v>0.117624862988229</v>
      </c>
      <c r="AD21" s="3">
        <v>6.4597880377056702E-2</v>
      </c>
      <c r="AE21" s="3">
        <v>0.16411251125201501</v>
      </c>
    </row>
    <row r="22" spans="1:31" x14ac:dyDescent="0.35">
      <c r="A22" s="44">
        <v>6</v>
      </c>
      <c r="B22" s="8" t="s">
        <v>62</v>
      </c>
      <c r="C22" s="7">
        <v>0.15963655556766701</v>
      </c>
      <c r="D22" s="7">
        <v>0.28593262071929698</v>
      </c>
      <c r="E22" s="7">
        <v>0.14854035293089499</v>
      </c>
      <c r="F22" s="7">
        <v>0.20428441686079499</v>
      </c>
      <c r="G22" s="7">
        <v>0.30996386856486402</v>
      </c>
      <c r="H22" s="7">
        <v>0.14015373941422701</v>
      </c>
      <c r="I22" s="7">
        <v>0.10911063541720099</v>
      </c>
      <c r="J22" s="7">
        <v>0.20591809712343601</v>
      </c>
      <c r="K22" s="7">
        <v>0.117817536045454</v>
      </c>
      <c r="L22" s="7">
        <v>0.116548284706392</v>
      </c>
      <c r="M22" s="7">
        <v>0.176443112487112</v>
      </c>
      <c r="N22" s="7">
        <v>0.10067640716801</v>
      </c>
      <c r="O22" s="7">
        <v>0.206526085345316</v>
      </c>
      <c r="P22" s="7">
        <v>0.82047796926301397</v>
      </c>
      <c r="Q22" s="7">
        <v>0.236130760718083</v>
      </c>
      <c r="R22" s="7">
        <v>0.18557891379490399</v>
      </c>
      <c r="S22" s="7">
        <v>0.211807924006434</v>
      </c>
      <c r="T22" s="7">
        <v>9.0676634885720198E-2</v>
      </c>
      <c r="U22" s="7">
        <v>7.4967807704843695E-2</v>
      </c>
      <c r="V22" s="7">
        <v>0.10156954553682999</v>
      </c>
      <c r="W22" s="7">
        <v>0.20896289143500901</v>
      </c>
      <c r="X22" s="7">
        <v>0.131094248944263</v>
      </c>
      <c r="Y22" s="7">
        <v>0.150744873154919</v>
      </c>
      <c r="Z22" s="7">
        <v>0.209354047142459</v>
      </c>
      <c r="AA22" s="7">
        <v>0.12784660422385799</v>
      </c>
      <c r="AB22" s="7">
        <v>9.87850189933666E-2</v>
      </c>
      <c r="AC22" s="7">
        <v>0.23297713451831101</v>
      </c>
      <c r="AD22" s="7">
        <v>0.10154790407742301</v>
      </c>
      <c r="AE22" s="7">
        <v>0.18800689654623401</v>
      </c>
    </row>
    <row r="23" spans="1:31" x14ac:dyDescent="0.35">
      <c r="A23" s="44"/>
      <c r="B23" s="46" t="s">
        <v>63</v>
      </c>
      <c r="C23" s="6">
        <v>0.122077077672172</v>
      </c>
      <c r="D23" s="6">
        <v>0.24773734010847301</v>
      </c>
      <c r="E23" s="6">
        <v>0.17172811134994301</v>
      </c>
      <c r="F23" s="6">
        <v>7.8313938944986894E-2</v>
      </c>
      <c r="G23" s="6">
        <v>0.18292921829721501</v>
      </c>
      <c r="H23" s="6">
        <v>0.117398116985277</v>
      </c>
      <c r="I23" s="6">
        <v>0.19103323078446</v>
      </c>
      <c r="J23" s="6">
        <v>0.17228719511759599</v>
      </c>
      <c r="K23" s="6">
        <v>0.106879932175707</v>
      </c>
      <c r="L23" s="6">
        <v>0.11465288405716199</v>
      </c>
      <c r="M23" s="6">
        <v>0.22824959721440899</v>
      </c>
      <c r="N23" s="6">
        <v>9.1859183373490999E-2</v>
      </c>
      <c r="O23" s="6">
        <v>9.9200188786230201E-2</v>
      </c>
      <c r="P23" s="6">
        <v>0.20826302360242099</v>
      </c>
      <c r="Q23" s="6">
        <v>0.172567222711455</v>
      </c>
      <c r="R23" s="6">
        <v>0.126139359650382</v>
      </c>
      <c r="S23" s="6">
        <v>9.5817440486716296E-2</v>
      </c>
      <c r="T23" s="6">
        <v>0.11880108064310201</v>
      </c>
      <c r="U23" s="6">
        <v>0.16376529933665801</v>
      </c>
      <c r="V23" s="6">
        <v>5.8855883014744301E-2</v>
      </c>
      <c r="W23" s="6">
        <v>0.22496521972559</v>
      </c>
      <c r="X23" s="6">
        <v>0.118043211523886</v>
      </c>
      <c r="Y23" s="6">
        <v>0.1014567950705</v>
      </c>
      <c r="Z23" s="6">
        <v>0.12366076796166101</v>
      </c>
      <c r="AA23" s="6">
        <v>0.12523809603258301</v>
      </c>
      <c r="AB23" s="6">
        <v>8.8540012025772802E-2</v>
      </c>
      <c r="AC23" s="6">
        <v>0.356112869773615</v>
      </c>
      <c r="AD23" s="6">
        <v>0.108335099863283</v>
      </c>
      <c r="AE23" s="6">
        <v>0.19749587139396399</v>
      </c>
    </row>
    <row r="24" spans="1:31" x14ac:dyDescent="0.35">
      <c r="A24" s="44"/>
      <c r="B24" s="46"/>
      <c r="C24" s="6">
        <v>0.15330665610497901</v>
      </c>
      <c r="D24" s="6">
        <v>0.118641227192875</v>
      </c>
      <c r="E24" s="6">
        <v>7.5166296466266699E-2</v>
      </c>
      <c r="F24" s="6">
        <v>0.12563980581463599</v>
      </c>
      <c r="G24" s="6">
        <v>0.105676403996689</v>
      </c>
      <c r="H24" s="6">
        <v>0.11250103560642299</v>
      </c>
      <c r="I24" s="6">
        <v>0.17972841643925999</v>
      </c>
      <c r="J24" s="6">
        <v>0.107252099971027</v>
      </c>
      <c r="K24" s="6">
        <v>9.6847889340123103E-2</v>
      </c>
      <c r="L24" s="6">
        <v>0.30316057990272999</v>
      </c>
      <c r="M24" s="6">
        <v>0.13629280087128601</v>
      </c>
      <c r="N24" s="6">
        <v>8.0146775512190196E-2</v>
      </c>
      <c r="O24" s="6">
        <v>0.107833672027304</v>
      </c>
      <c r="P24" s="6">
        <v>0.424718241337038</v>
      </c>
      <c r="Q24" s="6">
        <v>0.174300393643044</v>
      </c>
      <c r="R24" s="6">
        <v>0.100720304092752</v>
      </c>
      <c r="S24" s="6">
        <v>8.2724546713832794E-2</v>
      </c>
      <c r="T24" s="6">
        <v>0.10268447834773201</v>
      </c>
      <c r="U24" s="6">
        <v>8.1499510483407298E-2</v>
      </c>
      <c r="V24" s="6">
        <v>5.4610762992274201E-2</v>
      </c>
      <c r="W24" s="6">
        <v>9.5006509643783502E-2</v>
      </c>
      <c r="X24" s="6">
        <v>0.114578648249024</v>
      </c>
      <c r="Y24" s="6">
        <v>6.6783711441691096E-2</v>
      </c>
      <c r="Z24" s="6">
        <v>7.6394561473140193E-2</v>
      </c>
      <c r="AA24" s="6">
        <v>5.5704031707534303E-2</v>
      </c>
      <c r="AB24" s="6">
        <v>0.121043616907779</v>
      </c>
      <c r="AC24" s="6">
        <v>0.226911469770152</v>
      </c>
      <c r="AD24" s="6">
        <v>9.1210327526739493E-2</v>
      </c>
      <c r="AE24" s="6">
        <v>0.23747906627462101</v>
      </c>
    </row>
    <row r="25" spans="1:31" x14ac:dyDescent="0.35">
      <c r="A25" s="44"/>
      <c r="B25" s="46"/>
      <c r="C25" s="6">
        <v>9.0786048426265295E-2</v>
      </c>
      <c r="D25" s="6">
        <v>0.11511309801061601</v>
      </c>
      <c r="E25" s="6">
        <v>9.04326821688788E-2</v>
      </c>
      <c r="F25" s="6">
        <v>0.202115076186244</v>
      </c>
      <c r="G25" s="6">
        <v>0.183017762462344</v>
      </c>
      <c r="H25" s="6">
        <v>8.3814393400495998E-2</v>
      </c>
      <c r="I25" s="6">
        <v>0.195268986932123</v>
      </c>
      <c r="J25" s="6">
        <v>0.182008736795743</v>
      </c>
      <c r="K25" s="6">
        <v>8.7054450713950196E-2</v>
      </c>
      <c r="L25" s="6">
        <v>0.137873953320963</v>
      </c>
      <c r="M25" s="6">
        <v>0.154058904507266</v>
      </c>
      <c r="N25" s="6">
        <v>0.23375953847517</v>
      </c>
      <c r="O25" s="6">
        <v>0.167432756907193</v>
      </c>
      <c r="P25" s="6">
        <v>0.31782150605932402</v>
      </c>
      <c r="Q25" s="6">
        <v>0.15026469912443399</v>
      </c>
      <c r="R25" s="6">
        <v>0.126287531556319</v>
      </c>
      <c r="S25" s="6">
        <v>8.6386497375394805E-2</v>
      </c>
      <c r="T25" s="6">
        <v>0.15117478476413801</v>
      </c>
      <c r="U25" s="6">
        <v>6.6012609115879903E-2</v>
      </c>
      <c r="V25" s="6">
        <v>6.3662810884050999E-2</v>
      </c>
      <c r="W25" s="6">
        <v>0.114988434486174</v>
      </c>
      <c r="X25" s="6">
        <v>9.7726020593772195E-2</v>
      </c>
      <c r="Y25" s="6">
        <v>7.0055358991627403E-2</v>
      </c>
      <c r="Z25" s="6">
        <v>0.19459535927951499</v>
      </c>
      <c r="AA25" s="6">
        <v>9.0110932024161705E-2</v>
      </c>
      <c r="AB25" s="6">
        <v>0.12917610093361601</v>
      </c>
      <c r="AC25" s="6">
        <v>9.2936045142454696E-2</v>
      </c>
      <c r="AD25" s="6">
        <v>6.7783640712360899E-2</v>
      </c>
      <c r="AE25" s="6">
        <v>0.12547180197065699</v>
      </c>
    </row>
    <row r="26" spans="1:31" x14ac:dyDescent="0.35">
      <c r="A26" s="45">
        <v>7</v>
      </c>
      <c r="B26" s="4" t="s">
        <v>62</v>
      </c>
      <c r="C26" s="5">
        <v>0.16085642022081001</v>
      </c>
      <c r="D26" s="5">
        <v>0.18884495401208501</v>
      </c>
      <c r="E26" s="5">
        <v>9.7093792715441302E-2</v>
      </c>
      <c r="F26" s="5">
        <v>0.29777461472614503</v>
      </c>
      <c r="G26" s="5">
        <v>0.19711092447939499</v>
      </c>
      <c r="H26" s="5">
        <v>0.14131092205863799</v>
      </c>
      <c r="I26" s="5">
        <v>9.2280787777824794E-2</v>
      </c>
      <c r="J26" s="5">
        <v>0.134352003055006</v>
      </c>
      <c r="K26" s="5">
        <v>7.5890063916862593E-2</v>
      </c>
      <c r="L26" s="5">
        <v>0.140174083663759</v>
      </c>
      <c r="M26" s="5">
        <v>0.174424971267923</v>
      </c>
      <c r="N26" s="5">
        <v>0.19320702343371399</v>
      </c>
      <c r="O26" s="5">
        <v>0.158088614945883</v>
      </c>
      <c r="P26" s="5">
        <v>0.38343893748179297</v>
      </c>
      <c r="Q26" s="5">
        <v>0.19161680604745501</v>
      </c>
      <c r="R26" s="5">
        <v>0.15184180422664001</v>
      </c>
      <c r="S26" s="5">
        <v>9.38111901740558E-2</v>
      </c>
      <c r="T26" s="5">
        <v>8.8811666344719001E-2</v>
      </c>
      <c r="U26" s="5">
        <v>0.15615273448548</v>
      </c>
      <c r="V26" s="5">
        <v>7.0950724205891103E-2</v>
      </c>
      <c r="W26" s="5">
        <v>0.15633351497599099</v>
      </c>
      <c r="X26" s="5">
        <v>0.14291882826574101</v>
      </c>
      <c r="Y26" s="5">
        <v>9.5674525019611503E-2</v>
      </c>
      <c r="Z26" s="5">
        <v>0.185317836992337</v>
      </c>
      <c r="AA26" s="5">
        <v>0.18195878920203601</v>
      </c>
      <c r="AB26" s="5">
        <v>0.119596446162784</v>
      </c>
      <c r="AC26" s="5">
        <v>0.11364567330417601</v>
      </c>
      <c r="AD26" s="5">
        <v>0.11578064350440601</v>
      </c>
      <c r="AE26" s="5">
        <v>0.13936783965904201</v>
      </c>
    </row>
    <row r="27" spans="1:31" x14ac:dyDescent="0.35">
      <c r="A27" s="45"/>
      <c r="B27" s="47" t="s">
        <v>63</v>
      </c>
      <c r="C27" s="3">
        <v>0.17023804134472501</v>
      </c>
      <c r="D27" s="3">
        <v>0.117945247587513</v>
      </c>
      <c r="E27" s="3">
        <v>0.16432345051201</v>
      </c>
      <c r="F27" s="3">
        <v>0.12517278384413599</v>
      </c>
      <c r="G27" s="3">
        <v>6.7827357136347299E-2</v>
      </c>
      <c r="H27" s="3">
        <v>7.2538123683671102E-2</v>
      </c>
      <c r="I27" s="3">
        <v>0.203080800818321</v>
      </c>
      <c r="J27" s="3">
        <v>0.234295624691575</v>
      </c>
      <c r="K27" s="3">
        <v>0.120112528257535</v>
      </c>
      <c r="L27" s="3">
        <v>0.17244175119136701</v>
      </c>
      <c r="M27" s="3">
        <v>8.6616932070084501E-2</v>
      </c>
      <c r="N27" s="3">
        <v>0.11302531732106399</v>
      </c>
      <c r="O27" s="3">
        <v>0.175988328410151</v>
      </c>
      <c r="P27" s="3">
        <v>0.224405215251749</v>
      </c>
      <c r="Q27" s="3">
        <v>0.24137299474920301</v>
      </c>
      <c r="R27" s="3">
        <v>0.14833061210029</v>
      </c>
      <c r="S27" s="3">
        <v>9.8611059968549894E-2</v>
      </c>
      <c r="T27" s="3">
        <v>7.0488844341902196E-2</v>
      </c>
      <c r="U27" s="3">
        <v>0.14815305422165201</v>
      </c>
      <c r="V27" s="3">
        <v>8.7784969835148205E-2</v>
      </c>
      <c r="W27" s="3">
        <v>0.25278467930007997</v>
      </c>
      <c r="X27" s="3">
        <v>9.1448406126088594E-2</v>
      </c>
      <c r="Y27" s="3">
        <v>7.4564638421937599E-2</v>
      </c>
      <c r="Z27" s="3">
        <v>0.111324468546688</v>
      </c>
      <c r="AA27" s="3">
        <v>0.19160420981694701</v>
      </c>
      <c r="AB27" s="3">
        <v>0.108419267134907</v>
      </c>
      <c r="AC27" s="3">
        <v>0.164943642781607</v>
      </c>
      <c r="AD27" s="3">
        <v>6.4583906779174097E-2</v>
      </c>
      <c r="AE27" s="3">
        <v>0.174615765764287</v>
      </c>
    </row>
    <row r="28" spans="1:31" x14ac:dyDescent="0.35">
      <c r="A28" s="45"/>
      <c r="B28" s="47"/>
      <c r="C28" s="3">
        <v>0.243670150098349</v>
      </c>
      <c r="D28" s="3">
        <v>0.128613793019759</v>
      </c>
      <c r="E28" s="3">
        <v>0.117257928875225</v>
      </c>
      <c r="F28" s="3">
        <v>0.14769457620041501</v>
      </c>
      <c r="G28" s="3">
        <v>0.14082247224024599</v>
      </c>
      <c r="H28" s="3">
        <v>8.6090451205877799E-2</v>
      </c>
      <c r="I28" s="3">
        <v>0.12807827615699499</v>
      </c>
      <c r="J28" s="3">
        <v>0.14811395701442201</v>
      </c>
      <c r="K28" s="3">
        <v>7.9464875954872102E-2</v>
      </c>
      <c r="L28" s="3">
        <v>0.154187037871482</v>
      </c>
      <c r="M28" s="3">
        <v>0.26569687899323802</v>
      </c>
      <c r="N28" s="3">
        <v>0.13022483162558199</v>
      </c>
      <c r="O28" s="3">
        <v>0.160201464024883</v>
      </c>
      <c r="P28" s="3">
        <v>0.30315120424683401</v>
      </c>
      <c r="Q28" s="3">
        <v>0.20483456562732999</v>
      </c>
      <c r="R28" s="3">
        <v>0.25558547221303002</v>
      </c>
      <c r="S28" s="3">
        <v>0.123418214322239</v>
      </c>
      <c r="T28" s="3">
        <v>0.15660476259921</v>
      </c>
      <c r="U28" s="3">
        <v>8.2643518710130995E-2</v>
      </c>
      <c r="V28" s="3">
        <v>6.7816019999376198E-2</v>
      </c>
      <c r="W28" s="3">
        <v>6.9321723526221499E-2</v>
      </c>
      <c r="X28" s="3">
        <v>5.2157301903746497E-2</v>
      </c>
      <c r="Y28" s="3">
        <v>9.5488786276640397E-2</v>
      </c>
      <c r="Z28" s="3">
        <v>0.15272862709385601</v>
      </c>
      <c r="AA28" s="3">
        <v>0.136440723540319</v>
      </c>
      <c r="AB28" s="3">
        <v>0.16842896805000801</v>
      </c>
      <c r="AC28" s="3">
        <v>0.16991736561988399</v>
      </c>
      <c r="AD28" s="3">
        <v>7.15894251548886E-2</v>
      </c>
      <c r="AE28" s="3">
        <v>0.13240926146341001</v>
      </c>
    </row>
    <row r="29" spans="1:31" x14ac:dyDescent="0.35">
      <c r="A29" s="45"/>
      <c r="B29" s="47"/>
      <c r="C29" s="3">
        <v>0.29240265343187799</v>
      </c>
      <c r="D29" s="3">
        <v>0.16269169740966999</v>
      </c>
      <c r="E29" s="3">
        <v>0.118560859785226</v>
      </c>
      <c r="F29" s="3">
        <v>0.17439203197054901</v>
      </c>
      <c r="G29" s="3">
        <v>0.17427630746377801</v>
      </c>
      <c r="H29" s="3">
        <v>9.6915219324959098E-2</v>
      </c>
      <c r="I29" s="3">
        <v>0.102064872693108</v>
      </c>
      <c r="J29" s="3">
        <v>0.25913772268269503</v>
      </c>
      <c r="K29" s="3">
        <v>7.0906771445836E-2</v>
      </c>
      <c r="L29" s="3">
        <v>0.180928504899982</v>
      </c>
      <c r="M29" s="3">
        <v>0.196948762749173</v>
      </c>
      <c r="N29" s="3">
        <v>9.3832432122542206E-2</v>
      </c>
      <c r="O29" s="3">
        <v>0.250179230819354</v>
      </c>
      <c r="P29" s="3">
        <v>0.24114497656265099</v>
      </c>
      <c r="Q29" s="3">
        <v>0.25156993495235902</v>
      </c>
      <c r="R29" s="3">
        <v>0.16993028063034399</v>
      </c>
      <c r="S29" s="3">
        <v>0.12257301930639999</v>
      </c>
      <c r="T29" s="3">
        <v>0.15220390109555601</v>
      </c>
      <c r="U29" s="3">
        <v>9.8405439233729505E-2</v>
      </c>
      <c r="V29" s="3">
        <v>8.0923110831442505E-2</v>
      </c>
      <c r="W29" s="3">
        <v>0.10598042746639701</v>
      </c>
      <c r="X29" s="3">
        <v>0.10356470888291899</v>
      </c>
      <c r="Y29" s="3">
        <v>7.2834585110574807E-2</v>
      </c>
      <c r="Z29" s="3">
        <v>0.18385980937139501</v>
      </c>
      <c r="AA29" s="3">
        <v>9.07148491067057E-2</v>
      </c>
      <c r="AB29" s="3">
        <v>0.17356391173052699</v>
      </c>
      <c r="AC29" s="3">
        <v>0.117469352234306</v>
      </c>
      <c r="AD29" s="3">
        <v>8.1706157302412305E-2</v>
      </c>
      <c r="AE29" s="3">
        <v>0.194564230561491</v>
      </c>
    </row>
    <row r="30" spans="1:31" x14ac:dyDescent="0.35">
      <c r="A30" s="44">
        <v>8</v>
      </c>
      <c r="B30" s="8" t="s">
        <v>62</v>
      </c>
      <c r="C30" s="7">
        <v>0.26858141491098803</v>
      </c>
      <c r="D30" s="7">
        <v>0.16604690317107301</v>
      </c>
      <c r="E30" s="7">
        <v>0.128807611529314</v>
      </c>
      <c r="F30" s="7">
        <v>0.17166906836885601</v>
      </c>
      <c r="G30" s="7">
        <v>0.229936674129885</v>
      </c>
      <c r="H30" s="7">
        <v>9.8478454818255706E-2</v>
      </c>
      <c r="I30" s="7">
        <v>6.1224071525212802E-2</v>
      </c>
      <c r="J30" s="7">
        <v>9.8045123660791003E-2</v>
      </c>
      <c r="K30" s="7">
        <v>0.14253977586653799</v>
      </c>
      <c r="L30" s="7">
        <v>0.164896091499594</v>
      </c>
      <c r="M30" s="7">
        <v>0.163730049268525</v>
      </c>
      <c r="N30" s="7">
        <v>0.14528625214972199</v>
      </c>
      <c r="O30" s="7">
        <v>0.10466917455183999</v>
      </c>
      <c r="P30" s="7">
        <v>0.27919552621907101</v>
      </c>
      <c r="Q30" s="7">
        <v>0.16440554400785401</v>
      </c>
      <c r="R30" s="7">
        <v>0.171823207729496</v>
      </c>
      <c r="S30" s="7">
        <v>0.13784741267497999</v>
      </c>
      <c r="T30" s="7">
        <v>0.111269171251327</v>
      </c>
      <c r="U30" s="7">
        <v>0.16361721248789901</v>
      </c>
      <c r="V30" s="7">
        <v>0.101603296267485</v>
      </c>
      <c r="W30" s="7">
        <v>0.11326037418528299</v>
      </c>
      <c r="X30" s="7">
        <v>0.104441116855765</v>
      </c>
      <c r="Y30" s="7">
        <v>7.9492705643010295E-2</v>
      </c>
      <c r="Z30" s="7">
        <v>0.140231873594831</v>
      </c>
      <c r="AA30" s="7">
        <v>0.124119843045741</v>
      </c>
      <c r="AB30" s="7">
        <v>0.17441308606065101</v>
      </c>
      <c r="AC30" s="7">
        <v>0.22562471485244601</v>
      </c>
      <c r="AD30" s="7">
        <v>7.0103975865369206E-2</v>
      </c>
      <c r="AE30" s="7">
        <v>0.152969931459988</v>
      </c>
    </row>
    <row r="31" spans="1:31" x14ac:dyDescent="0.35">
      <c r="A31" s="44"/>
      <c r="B31" s="46" t="s">
        <v>63</v>
      </c>
      <c r="C31" s="6">
        <v>0.139177264458552</v>
      </c>
      <c r="D31" s="6">
        <v>0.13419694843991001</v>
      </c>
      <c r="E31" s="6">
        <v>7.9133295288142905E-2</v>
      </c>
      <c r="F31" s="6">
        <v>0.12507897872571699</v>
      </c>
      <c r="G31" s="6">
        <v>0.182288415532008</v>
      </c>
      <c r="H31" s="6">
        <v>0.19808597353447999</v>
      </c>
      <c r="I31" s="6">
        <v>0.130527727359292</v>
      </c>
      <c r="J31" s="6">
        <v>9.5916470660729003E-2</v>
      </c>
      <c r="K31" s="6">
        <v>0.13818146111656901</v>
      </c>
      <c r="L31" s="6">
        <v>0.197766341024667</v>
      </c>
      <c r="M31" s="6">
        <v>0.113692171664278</v>
      </c>
      <c r="N31" s="6">
        <v>0.115293713172922</v>
      </c>
      <c r="O31" s="6">
        <v>0.16776880998067101</v>
      </c>
      <c r="P31" s="6">
        <v>0.42836587628753398</v>
      </c>
      <c r="Q31" s="6">
        <v>0.22435225234974401</v>
      </c>
      <c r="R31" s="6">
        <v>0.13053411452414301</v>
      </c>
      <c r="S31" s="6">
        <v>8.2616435988735804E-2</v>
      </c>
      <c r="T31" s="6">
        <v>6.7163177267829902E-2</v>
      </c>
      <c r="U31" s="6">
        <v>0.116610526163356</v>
      </c>
      <c r="V31" s="6">
        <v>8.07148396904393E-2</v>
      </c>
      <c r="W31" s="6">
        <v>0.15609560081923701</v>
      </c>
      <c r="X31" s="6">
        <v>0.106009915073211</v>
      </c>
      <c r="Y31" s="6">
        <v>5.2640687331655799E-2</v>
      </c>
      <c r="Z31" s="6">
        <v>0.146553605439845</v>
      </c>
      <c r="AA31" s="6">
        <v>0.19861136098958301</v>
      </c>
      <c r="AB31" s="6">
        <v>0.103514364735513</v>
      </c>
      <c r="AC31" s="6">
        <v>0.162277718298347</v>
      </c>
      <c r="AD31" s="6">
        <v>8.5051336479858602E-2</v>
      </c>
      <c r="AE31" s="6">
        <v>0.31104186201266498</v>
      </c>
    </row>
    <row r="32" spans="1:31" x14ac:dyDescent="0.35">
      <c r="A32" s="44"/>
      <c r="B32" s="46"/>
      <c r="C32" s="6">
        <v>0.100671708605213</v>
      </c>
      <c r="D32" s="6">
        <v>0.14826458859227701</v>
      </c>
      <c r="E32" s="6">
        <v>0.10659919111394001</v>
      </c>
      <c r="F32" s="6">
        <v>0.142790212556207</v>
      </c>
      <c r="G32" s="6">
        <v>0.13427895617969701</v>
      </c>
      <c r="H32" s="6">
        <v>0.10000529493435301</v>
      </c>
      <c r="I32" s="6">
        <v>0.14074340048304901</v>
      </c>
      <c r="J32" s="6">
        <v>0.12883261041525501</v>
      </c>
      <c r="K32" s="6">
        <v>6.7379646443369703E-2</v>
      </c>
      <c r="L32" s="6">
        <v>0.17768418671941399</v>
      </c>
      <c r="M32" s="6">
        <v>0.17307411143196999</v>
      </c>
      <c r="N32" s="6">
        <v>7.4775519462371098E-2</v>
      </c>
      <c r="O32" s="6">
        <v>0.164300008569601</v>
      </c>
      <c r="P32" s="6">
        <v>0.120966334720454</v>
      </c>
      <c r="Q32" s="6">
        <v>6.9351312899589901E-2</v>
      </c>
      <c r="R32" s="6">
        <v>0.293544220569537</v>
      </c>
      <c r="S32" s="6">
        <v>0.15631942457501899</v>
      </c>
      <c r="T32" s="6">
        <v>7.7487405337310494E-2</v>
      </c>
      <c r="U32" s="6">
        <v>0.107342217918275</v>
      </c>
      <c r="V32" s="6">
        <v>0.105417921089951</v>
      </c>
      <c r="W32" s="6">
        <v>9.3703696508077305E-2</v>
      </c>
      <c r="X32" s="6">
        <v>0.10563599553170901</v>
      </c>
      <c r="Y32" s="6">
        <v>9.6356144404168204E-2</v>
      </c>
      <c r="Z32" s="6">
        <v>0.110654810129549</v>
      </c>
      <c r="AA32" s="6">
        <v>0.16587123855151201</v>
      </c>
      <c r="AB32" s="6">
        <v>0.158730982291474</v>
      </c>
      <c r="AC32" s="6">
        <v>0.11300451598142799</v>
      </c>
      <c r="AD32" s="6">
        <v>8.3940331593406303E-2</v>
      </c>
      <c r="AE32" s="6">
        <v>0.105247651538124</v>
      </c>
    </row>
    <row r="33" spans="1:31" x14ac:dyDescent="0.35">
      <c r="A33" s="44"/>
      <c r="B33" s="46"/>
      <c r="C33" s="6">
        <v>5.7720277735274599E-2</v>
      </c>
      <c r="D33" s="6">
        <v>8.3278541424643707E-2</v>
      </c>
      <c r="E33" s="6">
        <v>0.116044657157688</v>
      </c>
      <c r="F33" s="6">
        <v>8.2188697701381E-2</v>
      </c>
      <c r="G33" s="6">
        <v>0.20457618743408401</v>
      </c>
      <c r="H33" s="6">
        <v>8.8945408403940898E-2</v>
      </c>
      <c r="I33" s="6">
        <v>0.16598113785013699</v>
      </c>
      <c r="J33" s="6">
        <v>0.18027059674553</v>
      </c>
      <c r="K33" s="6">
        <v>0.11137139832522901</v>
      </c>
      <c r="L33" s="6">
        <v>0.18023685134628101</v>
      </c>
      <c r="M33" s="6">
        <v>0.22341747982762</v>
      </c>
      <c r="N33" s="6">
        <v>0.21743365021556399</v>
      </c>
      <c r="O33" s="6">
        <v>0.239447106609183</v>
      </c>
      <c r="P33" s="6">
        <v>0.28632053225475101</v>
      </c>
      <c r="Q33" s="6">
        <v>0.21138456410506701</v>
      </c>
      <c r="R33" s="6">
        <v>0.123694992074253</v>
      </c>
      <c r="S33" s="6">
        <v>0.122066379510092</v>
      </c>
      <c r="T33" s="6">
        <v>8.5813661206151803E-2</v>
      </c>
      <c r="U33" s="6">
        <v>9.9796235980864303E-2</v>
      </c>
      <c r="V33" s="6">
        <v>5.4232978034448397E-2</v>
      </c>
      <c r="W33" s="6">
        <v>9.3189125927986505E-2</v>
      </c>
      <c r="X33" s="6">
        <v>0.140811965003871</v>
      </c>
      <c r="Y33" s="6">
        <v>0.11828402994781199</v>
      </c>
      <c r="Z33" s="6">
        <v>0.18353110062518199</v>
      </c>
      <c r="AA33" s="6">
        <v>0.14393563401947199</v>
      </c>
      <c r="AB33" s="6">
        <v>0.16602047564176201</v>
      </c>
      <c r="AC33" s="6">
        <v>0.159548991538848</v>
      </c>
      <c r="AD33" s="6">
        <v>8.7469792858751297E-2</v>
      </c>
      <c r="AE33" s="6">
        <v>0.115936790565299</v>
      </c>
    </row>
    <row r="34" spans="1:31" x14ac:dyDescent="0.35">
      <c r="A34" s="45">
        <v>9</v>
      </c>
      <c r="B34" s="4" t="s">
        <v>62</v>
      </c>
      <c r="C34" s="5">
        <v>0.15802816251287999</v>
      </c>
      <c r="D34" s="5">
        <v>0.11855809602881601</v>
      </c>
      <c r="E34" s="5">
        <v>0.19424739859942</v>
      </c>
      <c r="F34" s="5">
        <v>0.156344733495383</v>
      </c>
      <c r="G34" s="5">
        <v>0.17911651420296101</v>
      </c>
      <c r="H34" s="5">
        <v>0.107395078617566</v>
      </c>
      <c r="I34" s="5">
        <v>0.112192672284911</v>
      </c>
      <c r="J34" s="5">
        <v>0.112312394089315</v>
      </c>
      <c r="K34" s="5">
        <v>0.112482959867275</v>
      </c>
      <c r="L34" s="5">
        <v>0.19508766485814999</v>
      </c>
      <c r="M34" s="5">
        <v>0.272618058388857</v>
      </c>
      <c r="N34" s="5">
        <v>9.4211820374831903E-2</v>
      </c>
      <c r="O34" s="5">
        <v>0.12950888734015001</v>
      </c>
      <c r="P34" s="5">
        <v>0.37437890933200602</v>
      </c>
      <c r="Q34" s="5">
        <v>0.131020581591136</v>
      </c>
      <c r="R34" s="5">
        <v>0.132261411811124</v>
      </c>
      <c r="S34" s="5">
        <v>0.16124158439733699</v>
      </c>
      <c r="T34" s="5">
        <v>0.113673567854774</v>
      </c>
      <c r="U34" s="5">
        <v>0.22470731552238901</v>
      </c>
      <c r="V34" s="5">
        <v>5.9948544878287602E-2</v>
      </c>
      <c r="W34" s="5">
        <v>9.8046620006251001E-2</v>
      </c>
      <c r="X34" s="5">
        <v>0.15757313157962299</v>
      </c>
      <c r="Y34" s="5">
        <v>0.10069733260251799</v>
      </c>
      <c r="Z34" s="5">
        <v>0.138405292580181</v>
      </c>
      <c r="AA34" s="5">
        <v>0.61428454022664802</v>
      </c>
      <c r="AB34" s="5">
        <v>0.10775338663742701</v>
      </c>
      <c r="AC34" s="5">
        <v>0.16015398740848599</v>
      </c>
      <c r="AD34" s="5">
        <v>9.6784438761712902E-2</v>
      </c>
      <c r="AE34" s="5">
        <v>0.135078154743527</v>
      </c>
    </row>
    <row r="35" spans="1:31" x14ac:dyDescent="0.35">
      <c r="A35" s="45"/>
      <c r="B35" s="47" t="s">
        <v>63</v>
      </c>
      <c r="C35" s="3">
        <v>0.18588637698819499</v>
      </c>
      <c r="D35" s="3">
        <v>6.1964891700669697E-2</v>
      </c>
      <c r="E35" s="3">
        <v>0.18988393624015801</v>
      </c>
      <c r="F35" s="3">
        <v>0.119943815298882</v>
      </c>
      <c r="G35" s="3">
        <v>0.154477213625761</v>
      </c>
      <c r="H35" s="3">
        <v>0.154088105280999</v>
      </c>
      <c r="I35" s="3">
        <v>0.16583619473028399</v>
      </c>
      <c r="J35" s="3">
        <v>0.12816056858536201</v>
      </c>
      <c r="K35" s="3">
        <v>0.22403822461511999</v>
      </c>
      <c r="L35" s="3">
        <v>9.9553719037570501E-2</v>
      </c>
      <c r="M35" s="3">
        <v>0.184370174588256</v>
      </c>
      <c r="N35" s="3">
        <v>0.143284246338995</v>
      </c>
      <c r="O35" s="3">
        <v>0.123056329559112</v>
      </c>
      <c r="P35" s="3">
        <v>0.351918182824349</v>
      </c>
      <c r="Q35" s="3">
        <v>0.19820792362869399</v>
      </c>
      <c r="R35" s="3">
        <v>0.15903183292902801</v>
      </c>
      <c r="S35" s="3">
        <v>0.14997068644198999</v>
      </c>
      <c r="T35" s="3">
        <v>0.10646577351094499</v>
      </c>
      <c r="U35" s="3">
        <v>0.146524872841447</v>
      </c>
      <c r="V35" s="3">
        <v>5.9171717769688603E-2</v>
      </c>
      <c r="W35" s="3">
        <v>8.2331956467747699E-2</v>
      </c>
      <c r="X35" s="3">
        <v>0.14955071766630801</v>
      </c>
      <c r="Y35" s="3">
        <v>8.5190620284577703E-2</v>
      </c>
      <c r="Z35" s="3">
        <v>0.114716136150753</v>
      </c>
      <c r="AA35" s="3">
        <v>0.142283357081357</v>
      </c>
      <c r="AB35" s="3">
        <v>0.161928830957316</v>
      </c>
      <c r="AC35" s="3">
        <v>0.18980556400197099</v>
      </c>
      <c r="AD35" s="3">
        <v>7.38809243552562E-2</v>
      </c>
      <c r="AE35" s="3">
        <v>0.21289340641168</v>
      </c>
    </row>
    <row r="36" spans="1:31" x14ac:dyDescent="0.35">
      <c r="A36" s="45"/>
      <c r="B36" s="47"/>
      <c r="C36" s="3">
        <v>9.1727168503982007E-2</v>
      </c>
      <c r="D36" s="3">
        <v>0.147848207680399</v>
      </c>
      <c r="E36" s="3">
        <v>9.0287917882868704E-2</v>
      </c>
      <c r="F36" s="3">
        <v>0.124659612770238</v>
      </c>
      <c r="G36" s="3">
        <v>0.16222303599889301</v>
      </c>
      <c r="H36" s="3">
        <v>0.10011146037474999</v>
      </c>
      <c r="I36" s="3">
        <v>0.111345689212498</v>
      </c>
      <c r="J36" s="3">
        <v>0.16247591022677699</v>
      </c>
      <c r="K36" s="3">
        <v>0.107245494405642</v>
      </c>
      <c r="L36" s="3">
        <v>0.154964926709066</v>
      </c>
      <c r="M36" s="3">
        <v>0.144933359072206</v>
      </c>
      <c r="N36" s="3">
        <v>9.8473982669726096E-2</v>
      </c>
      <c r="O36" s="3">
        <v>0.17915493441888999</v>
      </c>
      <c r="P36" s="3">
        <v>0.30026500137295797</v>
      </c>
      <c r="Q36" s="3">
        <v>0.23795001758579401</v>
      </c>
      <c r="R36" s="3">
        <v>0.18145875256050301</v>
      </c>
      <c r="S36" s="3">
        <v>9.1471467984194907E-2</v>
      </c>
      <c r="T36" s="3">
        <v>0.10241196766961599</v>
      </c>
      <c r="U36" s="3">
        <v>0.111266231787802</v>
      </c>
      <c r="V36" s="3">
        <v>7.5604956238672694E-2</v>
      </c>
      <c r="W36" s="3">
        <v>8.6143684812378801E-2</v>
      </c>
      <c r="X36" s="3">
        <v>0.119048405697356</v>
      </c>
      <c r="Y36" s="3">
        <v>0.121870434503217</v>
      </c>
      <c r="Z36" s="3">
        <v>0.11744299753644399</v>
      </c>
      <c r="AA36" s="3">
        <v>0.30852484472166503</v>
      </c>
      <c r="AB36" s="3">
        <v>0.15668593508214701</v>
      </c>
      <c r="AC36" s="3">
        <v>0.110845530334263</v>
      </c>
      <c r="AD36" s="3">
        <v>6.8121305509607502E-2</v>
      </c>
      <c r="AE36" s="3">
        <v>0.13896972897368901</v>
      </c>
    </row>
    <row r="37" spans="1:31" x14ac:dyDescent="0.35">
      <c r="A37" s="45"/>
      <c r="B37" s="47"/>
      <c r="C37" s="3">
        <v>7.6969402012002197E-2</v>
      </c>
      <c r="D37" s="3">
        <v>0.109888970620883</v>
      </c>
      <c r="E37" s="3">
        <v>0.11532710102957899</v>
      </c>
      <c r="F37" s="3">
        <v>0.11283936871455599</v>
      </c>
      <c r="G37" s="3">
        <v>0.161093130345703</v>
      </c>
      <c r="H37" s="3">
        <v>8.8543393157657996E-2</v>
      </c>
      <c r="I37" s="3">
        <v>0.11885010435137799</v>
      </c>
      <c r="J37" s="3">
        <v>0.11342807684002799</v>
      </c>
      <c r="K37" s="3">
        <v>6.6137759644913197E-2</v>
      </c>
      <c r="L37" s="3">
        <v>0.144326844309489</v>
      </c>
      <c r="M37" s="3">
        <v>0.283936034749105</v>
      </c>
      <c r="N37" s="3">
        <v>9.5538952533530397E-2</v>
      </c>
      <c r="O37" s="3">
        <v>9.3334724252781998E-2</v>
      </c>
      <c r="P37" s="3">
        <v>0.62730192874128898</v>
      </c>
      <c r="Q37" s="3">
        <v>0.13751389882911799</v>
      </c>
      <c r="R37" s="3">
        <v>0.16592023273557099</v>
      </c>
      <c r="S37" s="3">
        <v>9.8248408097050696E-2</v>
      </c>
      <c r="T37" s="3">
        <v>9.5444506634060899E-2</v>
      </c>
      <c r="U37" s="3">
        <v>0.19799914127923901</v>
      </c>
      <c r="V37" s="3">
        <v>7.1975040038511406E-2</v>
      </c>
      <c r="W37" s="3">
        <v>0.106291036219531</v>
      </c>
      <c r="X37" s="3">
        <v>0.10043021880483501</v>
      </c>
      <c r="Y37" s="3">
        <v>6.4005857903323096E-2</v>
      </c>
      <c r="Z37" s="3">
        <v>0.18133499479899301</v>
      </c>
      <c r="AA37" s="3">
        <v>0.144524490597112</v>
      </c>
      <c r="AB37" s="3">
        <v>0.13493722978328801</v>
      </c>
      <c r="AC37" s="3">
        <v>7.5683560631534405E-2</v>
      </c>
      <c r="AD37" s="3">
        <v>8.9682089031928994E-2</v>
      </c>
      <c r="AE37" s="3">
        <v>0.18476039610797099</v>
      </c>
    </row>
    <row r="38" spans="1:31" x14ac:dyDescent="0.35">
      <c r="A38" s="44">
        <v>10</v>
      </c>
      <c r="B38" s="8" t="s">
        <v>62</v>
      </c>
      <c r="C38" s="7">
        <v>0.15962205798198101</v>
      </c>
      <c r="D38" s="7">
        <v>9.06790929112294E-2</v>
      </c>
      <c r="E38" s="7">
        <v>0.132877685768301</v>
      </c>
      <c r="F38" s="7">
        <v>9.1094742292459799E-2</v>
      </c>
      <c r="G38" s="7">
        <v>0.212620543865708</v>
      </c>
      <c r="H38" s="7">
        <v>0.15408767214205901</v>
      </c>
      <c r="I38" s="7">
        <v>6.5775546289209702E-2</v>
      </c>
      <c r="J38" s="7">
        <v>0.166006445686462</v>
      </c>
      <c r="K38" s="7">
        <v>0.13195246139373801</v>
      </c>
      <c r="L38" s="7">
        <v>0.100648008400421</v>
      </c>
      <c r="M38" s="7">
        <v>0.176591579980696</v>
      </c>
      <c r="N38" s="7">
        <v>0.18738234890883099</v>
      </c>
      <c r="O38" s="7">
        <v>0.13712810955625501</v>
      </c>
      <c r="P38" s="7">
        <v>0.37864767104300801</v>
      </c>
      <c r="Q38" s="7">
        <v>0.49377683870067002</v>
      </c>
      <c r="R38" s="7">
        <v>0.18976708535272699</v>
      </c>
      <c r="S38" s="7">
        <v>0.13379227467047999</v>
      </c>
      <c r="T38" s="7">
        <v>0.14618605692971701</v>
      </c>
      <c r="U38" s="7">
        <v>0.240438812407999</v>
      </c>
      <c r="V38" s="7">
        <v>7.9408546139524E-2</v>
      </c>
      <c r="W38" s="7">
        <v>0.116373580542967</v>
      </c>
      <c r="X38" s="7">
        <v>0.14309659057763499</v>
      </c>
      <c r="Y38" s="7">
        <v>8.8233990019119704E-2</v>
      </c>
      <c r="Z38" s="7">
        <v>0.17969510487569901</v>
      </c>
      <c r="AA38" s="7">
        <v>0.27787930696461999</v>
      </c>
      <c r="AB38" s="7">
        <v>9.9067671162965401E-2</v>
      </c>
      <c r="AC38" s="7">
        <v>0.14258311169080001</v>
      </c>
      <c r="AD38" s="7">
        <v>0.109079462020405</v>
      </c>
      <c r="AE38" s="7">
        <v>0.16692134979495299</v>
      </c>
    </row>
    <row r="39" spans="1:31" x14ac:dyDescent="0.35">
      <c r="A39" s="44"/>
      <c r="B39" s="46" t="s">
        <v>63</v>
      </c>
      <c r="C39" s="6">
        <v>0.19188845528029499</v>
      </c>
      <c r="D39" s="6">
        <v>0.15677003949948301</v>
      </c>
      <c r="E39" s="6">
        <v>8.1121083666857094E-2</v>
      </c>
      <c r="F39" s="6">
        <v>0.11740760701601199</v>
      </c>
      <c r="G39" s="6">
        <v>0.1414481867648</v>
      </c>
      <c r="H39" s="6">
        <v>0.11398820858294501</v>
      </c>
      <c r="I39" s="6">
        <v>0.159492540007697</v>
      </c>
      <c r="J39" s="6">
        <v>0.121981248035589</v>
      </c>
      <c r="K39" s="6">
        <v>0.116026997919427</v>
      </c>
      <c r="L39" s="6">
        <v>0.193864178865473</v>
      </c>
      <c r="M39" s="6">
        <v>0.13321389877894199</v>
      </c>
      <c r="N39" s="6">
        <v>7.6577980624252404E-2</v>
      </c>
      <c r="O39" s="6">
        <v>9.0369694427428496E-2</v>
      </c>
      <c r="P39" s="6">
        <v>0.354153864994732</v>
      </c>
      <c r="Q39" s="6">
        <v>0.212662654025745</v>
      </c>
      <c r="R39" s="6">
        <v>0.14012753085754301</v>
      </c>
      <c r="S39" s="6">
        <v>0.112368217615541</v>
      </c>
      <c r="T39" s="6">
        <v>0.104904193587812</v>
      </c>
      <c r="U39" s="6">
        <v>0.18307231945100699</v>
      </c>
      <c r="V39" s="6">
        <v>3.9719887212236099E-2</v>
      </c>
      <c r="W39" s="6">
        <v>0.17467319977248399</v>
      </c>
      <c r="X39" s="6">
        <v>0.12722519568162699</v>
      </c>
      <c r="Y39" s="6">
        <v>5.9497534678316998E-2</v>
      </c>
      <c r="Z39" s="6">
        <v>0.177045443248767</v>
      </c>
      <c r="AA39" s="6">
        <v>0.16576075010592201</v>
      </c>
      <c r="AB39" s="6">
        <v>0.109946948030931</v>
      </c>
      <c r="AC39" s="6">
        <v>0.26501356069641202</v>
      </c>
      <c r="AD39" s="6">
        <v>8.6423345207121E-2</v>
      </c>
      <c r="AE39" s="6">
        <v>0.22547543857721</v>
      </c>
    </row>
    <row r="40" spans="1:31" x14ac:dyDescent="0.35">
      <c r="A40" s="44"/>
      <c r="B40" s="46"/>
      <c r="C40" s="6">
        <v>8.0525615222686905E-2</v>
      </c>
      <c r="D40" s="6">
        <v>9.10251894746711E-2</v>
      </c>
      <c r="E40" s="6">
        <v>0.15431908366535099</v>
      </c>
      <c r="F40" s="6">
        <v>8.7414527747744095E-2</v>
      </c>
      <c r="G40" s="6">
        <v>0.14016307302766901</v>
      </c>
      <c r="H40" s="6">
        <v>0.119802923789742</v>
      </c>
      <c r="I40" s="6">
        <v>0.1452375596794</v>
      </c>
      <c r="J40" s="6">
        <v>0.19602195377266099</v>
      </c>
      <c r="K40" s="6">
        <v>9.1602864912272403E-2</v>
      </c>
      <c r="L40" s="6">
        <v>0.12898151873886499</v>
      </c>
      <c r="M40" s="6">
        <v>0.12885110741710101</v>
      </c>
      <c r="N40" s="6">
        <v>0.114049475142301</v>
      </c>
      <c r="O40" s="6">
        <v>0.16367561900240801</v>
      </c>
      <c r="P40" s="6">
        <v>0.237475192572141</v>
      </c>
      <c r="Q40" s="6">
        <v>0.11544878302969</v>
      </c>
      <c r="R40" s="6">
        <v>7.6018827874736503E-2</v>
      </c>
      <c r="S40" s="6">
        <v>0.11088070343884</v>
      </c>
      <c r="T40" s="6">
        <v>0.16140559534544099</v>
      </c>
      <c r="U40" s="6">
        <v>0.12844989045126601</v>
      </c>
      <c r="V40" s="6">
        <v>7.3778396205137806E-2</v>
      </c>
      <c r="W40" s="6">
        <v>0.111157179773324</v>
      </c>
      <c r="X40" s="6">
        <v>9.2038920268786101E-2</v>
      </c>
      <c r="Y40" s="6">
        <v>0.108863381514752</v>
      </c>
      <c r="Z40" s="6">
        <v>0.113302617352777</v>
      </c>
      <c r="AA40" s="6">
        <v>0.146137948277102</v>
      </c>
      <c r="AB40" s="6">
        <v>0.14122053708361501</v>
      </c>
      <c r="AC40" s="6">
        <v>0.110346233335161</v>
      </c>
      <c r="AD40" s="6">
        <v>6.4179771856675394E-2</v>
      </c>
      <c r="AE40" s="6">
        <v>0.139472811989447</v>
      </c>
    </row>
    <row r="41" spans="1:31" x14ac:dyDescent="0.35">
      <c r="A41" s="44"/>
      <c r="B41" s="46"/>
      <c r="C41" s="6">
        <v>0.104928913151817</v>
      </c>
      <c r="D41" s="6">
        <v>0.264109775434761</v>
      </c>
      <c r="E41" s="6">
        <v>0.128320905653654</v>
      </c>
      <c r="F41" s="6">
        <v>0.14627686617028399</v>
      </c>
      <c r="G41" s="6">
        <v>0.21985351553700599</v>
      </c>
      <c r="H41" s="6">
        <v>0.12720621799821</v>
      </c>
      <c r="I41" s="6">
        <v>0.15693913890650299</v>
      </c>
      <c r="J41" s="6">
        <v>0.12427584456087699</v>
      </c>
      <c r="K41" s="6">
        <v>0.132016637966129</v>
      </c>
      <c r="L41" s="6">
        <v>0.144761775102449</v>
      </c>
      <c r="M41" s="6">
        <v>0.16913836976226099</v>
      </c>
      <c r="N41" s="6">
        <v>8.0821216779021404E-2</v>
      </c>
      <c r="O41" s="6">
        <v>0.160510429846349</v>
      </c>
      <c r="P41" s="6">
        <v>0.30645276246289299</v>
      </c>
      <c r="Q41" s="6">
        <v>0.135489366896134</v>
      </c>
      <c r="R41" s="6">
        <v>0.13033917902297301</v>
      </c>
      <c r="S41" s="6">
        <v>0.13220124148345699</v>
      </c>
      <c r="T41" s="6">
        <v>0.151572813309859</v>
      </c>
      <c r="U41" s="6">
        <v>0.13064338999216199</v>
      </c>
      <c r="V41" s="6">
        <v>5.5506364065212102E-2</v>
      </c>
      <c r="W41" s="6">
        <v>0.120416776388137</v>
      </c>
      <c r="X41" s="6">
        <v>0.10880002306615499</v>
      </c>
      <c r="Y41" s="6">
        <v>8.5329357158280994E-2</v>
      </c>
      <c r="Z41" s="6">
        <v>0.23335183373696999</v>
      </c>
      <c r="AA41" s="6">
        <v>0.26443354509448302</v>
      </c>
      <c r="AB41" s="6">
        <v>0.141273051238264</v>
      </c>
      <c r="AC41" s="6">
        <v>0.11064712067009699</v>
      </c>
      <c r="AD41" s="6">
        <v>9.5519826684060796E-2</v>
      </c>
      <c r="AE41" s="6">
        <v>0.151403709850262</v>
      </c>
    </row>
    <row r="50" spans="3:5" x14ac:dyDescent="0.35">
      <c r="C50">
        <f>AVERAGE(C2:C21)</f>
        <v>0.16382386208368221</v>
      </c>
      <c r="E50">
        <f>AVERAGE(C3:C5)</f>
        <v>0.14626514856400899</v>
      </c>
    </row>
    <row r="51" spans="3:5" x14ac:dyDescent="0.35">
      <c r="C51">
        <f>AVERAGE(C22:C41)</f>
        <v>0.15043502101153558</v>
      </c>
    </row>
  </sheetData>
  <mergeCells count="20">
    <mergeCell ref="A18:A21"/>
    <mergeCell ref="A14:A17"/>
    <mergeCell ref="A10:A13"/>
    <mergeCell ref="B7:B9"/>
    <mergeCell ref="B3:B5"/>
    <mergeCell ref="A6:A9"/>
    <mergeCell ref="A2:A5"/>
    <mergeCell ref="B19:B21"/>
    <mergeCell ref="B15:B17"/>
    <mergeCell ref="B11:B13"/>
    <mergeCell ref="B39:B41"/>
    <mergeCell ref="B35:B37"/>
    <mergeCell ref="B31:B33"/>
    <mergeCell ref="B27:B29"/>
    <mergeCell ref="B23:B25"/>
    <mergeCell ref="A38:A41"/>
    <mergeCell ref="A34:A37"/>
    <mergeCell ref="A30:A33"/>
    <mergeCell ref="A26:A29"/>
    <mergeCell ref="A22:A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 Analysis </vt:lpstr>
      <vt:lpstr>ES for ALL</vt:lpstr>
      <vt:lpstr>ALL 10 Trials - BIG</vt:lpstr>
      <vt:lpstr>1st 5 Trials - SMALL</vt:lpstr>
      <vt:lpstr>2nd 5 Trials - SMALL</vt:lpstr>
      <vt:lpstr>Raw Error Scores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Timothy Flanagan</dc:creator>
  <cp:keywords/>
  <dc:description/>
  <cp:lastModifiedBy>Giresi, Isabella</cp:lastModifiedBy>
  <cp:revision/>
  <dcterms:created xsi:type="dcterms:W3CDTF">2023-11-27T00:15:34Z</dcterms:created>
  <dcterms:modified xsi:type="dcterms:W3CDTF">2024-08-15T01:29:32Z</dcterms:modified>
  <cp:category/>
  <cp:contentStatus/>
</cp:coreProperties>
</file>